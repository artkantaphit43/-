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<sst xmlns="http://schemas.openxmlformats.org/spreadsheetml/2006/main" count="413" uniqueCount="315">
  <si>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</si>
  <si>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</si>
  <si>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</si>
  <si>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</si>
  <si>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</si>
  <si>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</si>
  <si>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</si>
  <si>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</si>
  <si>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</si>
  <si>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</si>
  <si>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</si>
  <si>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</si>
  <si>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</si>
  <si>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</si>
  <si>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</si>
  <si>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</si>
  <si>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</si>
  <si>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</si>
  <si>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</si>
  <si>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</si>
  <si>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</si>
  <si>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</si>
  <si>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</si>
  <si>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</si>
  <si>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</si>
  <si>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</si>
  <si>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</si>
  <si>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</si>
  <si>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</si>
  <si>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</si>
  <si>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</si>
  <si>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</si>
  <si>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</si>
  <si>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</si>
  <si>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</si>
  <si>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</si>
  <si>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</si>
  <si>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</si>
  <si>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</si>
  <si>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</si>
  <si>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</si>
  <si>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</si>
  <si>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</si>
  <si>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</si>
  <si>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</si>
  <si>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</si>
  <si>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</si>
  <si>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</si>
  <si>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</si>
  <si>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</si>
  <si>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</si>
  <si>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</si>
  <si>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</si>
  <si>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</si>
  <si>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</si>
  <si>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</si>
  <si>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</si>
  <si>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</si>
  <si>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</si>
  <si>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</si>
  <si>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</si>
  <si>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</si>
  <si>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</si>
  <si>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</si>
  <si>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</si>
  <si>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</si>
  <si>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</si>
  <si>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</si>
  <si>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</si>
  <si>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</si>
  <si>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</si>
  <si>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</si>
  <si>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</si>
  <si>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</si>
  <si>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</si>
  <si>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</si>
  <si>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</si>
  <si>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</si>
  <si>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</si>
  <si>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</si>
  <si>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</si>
  <si>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</si>
  <si>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</si>
  <si>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</si>
  <si>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</si>
  <si>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</si>
  <si>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</si>
  <si>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</si>
  <si>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</si>
  <si>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</si>
  <si>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</si>
  <si>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</si>
  <si>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</si>
  <si>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</si>
  <si>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</si>
  <si>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</si>
  <si>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</si>
  <si>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</si>
  <si>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</si>
  <si>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</si>
  <si>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</si>
  <si>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</si>
  <si>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</si>
  <si>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</si>
  <si>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</si>
  <si>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</si>
  <si>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</si>
  <si>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</si>
  <si>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</si>
  <si>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</si>
  <si>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</si>
  <si>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</si>
  <si>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</si>
  <si>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</si>
  <si>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</si>
  <si>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</si>
  <si>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</si>
  <si>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</si>
  <si>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</si>
  <si>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</si>
  <si>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</si>
  <si>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</si>
  <si>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</si>
  <si>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</si>
  <si>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</si>
  <si>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</si>
  <si>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</si>
  <si>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</si>
  <si>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</si>
  <si>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</si>
  <si>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</si>
  <si>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</si>
  <si>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B ความกว้างภายในบ่อ</t>
  </si>
  <si>
    <t xml:space="preserve">MAX(0.90, H ÷ 0.2)</t>
  </si>
  <si>
    <t xml:space="preserve">เกณฑ์ ISO: B ≥ 0.90 m และ H/B ≤ 0.2 (fully contracted)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</si>
  <si>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</si>
  <si>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</si>
  <si>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</si>
  <si>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</si>
  <si>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</si>
  <si>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</si>
  <si>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</si>
  <si>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</si>
  <si>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</si>
  <si>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</si>
  <si>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</si>
  <si>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</si>
  <si>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</si>
  <si>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</si>
  <si>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</si>
  <si>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</si>
  <si>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</si>
  <si>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</si>
  <si>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</si>
  <si>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</si>
  <si>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</si>
  <si>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</si>
  <si>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</si>
  <si>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</si>
  <si>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</si>
  <si>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</si>
  <si>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</si>
  <si>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</si>
  <si>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</si>
  <si>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</si>
  <si>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</si>
  <si>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</si>
  <si>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</si>
  <si>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</si>
  <si>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</si>
  <si>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</si>
  <si>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</si>
  <si>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ช่อง 3 (ให้ฟองอากาศลอยหมดก่อนถึงแผ่นรูพรุน)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</si>
  <si>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</si>
  <si>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</si>
  <si>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</si>
  <si>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</si>
  <si>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</si>
  <si>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</si>
  <si>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</si>
  <si>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</si>
  <si>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</si>
  <si>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</si>
  <si>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</si>
  <si>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</si>
  <si>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</si>
  <si>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</si>
  <si>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</si>
  <si>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</si>
  <si>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</si>
  <si>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</si>
  <si>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</si>
  <si>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</si>
  <si>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</si>
  <si>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</si>
  <si>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Q ÷ (B × v ไม่เกิน 0.10)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</si>
  <si>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</si>
  <si>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</si>
  <si>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</si>
  <si>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</si>
  <si>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</si>
  <si>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</si>
  <si>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</si>
  <si>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</si>
  <si>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</si>
  <si>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</si>
  <si>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</si>
  <si>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</si>
  <si>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</si>
  <si>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</si>
  <si>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</si>
  <si>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</si>
  <si>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</si>
  <si>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</si>
  <si>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</si>
  <si>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</si>
  <si>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</si>
  <si>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</si>
  <si>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</si>
  <si>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</si>
  <si>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</si>
  <si>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</si>
  <si>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</si>
  <si>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</si>
  <si>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</si>
  <si>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</si>
  <si>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</si>
  <si>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</si>
  <si>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</si>
  <si>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</si>
  <si>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</si>
  <si>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</si>
  <si>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</si>
  <si>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</si>
  <si>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</si>
  <si>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</si>
  <si>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</si>
  <si>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</si>
  <si>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</si>
  <si>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</si>
  <si>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</si>
  <si>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</si>
  <si>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</si>
  <si>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</si>
  <si>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</si>
  <si>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</si>
  <si>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</si>
  <si>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</si>
  <si>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</si>
  <si>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</si>
  <si>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</si>
  <si>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</si>
  <si>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</si>
  <si>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</si>
  <si>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</si>
  <si>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</si>
  <si>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</si>
  <si>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สรุปขนาดบ่อ</t>
  </si>
  <si>
    <t xml:space="preserve">ความยาวช่อง 3</t>
  </si>
  <si>
    <t xml:space="preserve">รับน้ำตก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</si>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</sst>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0.2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0.1</v>
      </c>
      <c r="D20" s="6" t="s">
        <v>34</v>
      </c>
      <c r="E20" s="6" t="s">
        <v>35</v>
      </c>
    </row>
    <row r="21" customFormat="false" ht="15" hidden="false" customHeight="false" outlineLevel="0" collapsed="false">
      <c r="B21" s="6" t="s">
        <v>36</v>
      </c>
      <c r="C21" s="11" t="n">
        <v>0.168</v>
      </c>
      <c r="D21" s="6" t="s">
        <v>19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0" t="n">
        <v>0.15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0.4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0.3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0.1</v>
      </c>
      <c r="D26" s="6" t="s">
        <v>34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0.5</v>
      </c>
      <c r="D27" s="6" t="s">
        <v>19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0.2</v>
      </c>
      <c r="D28" s="6" t="s">
        <v>19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0.2</v>
      </c>
      <c r="D29" s="6" t="s">
        <v>19</v>
      </c>
      <c r="E29" s="6"/>
    </row>
    <row r="30" customFormat="false" ht="15" hidden="false" customHeight="false" outlineLevel="0" collapsed="false">
      <c r="B30" s="6" t="s">
        <v>53</v>
      </c>
      <c r="C30" s="10" t="n">
        <v>0.1</v>
      </c>
      <c r="D30" s="6" t="s">
        <v>19</v>
      </c>
      <c r="E30" s="6" t="s">
        <v>54</v>
      </c>
    </row>
    <row r="31" customFormat="false" ht="15" hidden="false" customHeight="false" outlineLevel="0" collapsed="false">
      <c r="B31" s="6" t="s">
        <v>55</v>
      </c>
      <c r="C31" s="10" t="n">
        <v>0.1</v>
      </c>
      <c r="D31" s="6" t="s">
        <v>19</v>
      </c>
      <c r="E31" s="6"/>
    </row>
    <row r="32" customFormat="false" ht="15" hidden="false" customHeight="false" outlineLevel="0" collapsed="false">
      <c r="B32" s="6" t="s">
        <v>56</v>
      </c>
      <c r="C32" s="10" t="n">
        <v>0.1</v>
      </c>
      <c r="D32" s="6" t="s">
        <v>19</v>
      </c>
      <c r="E32" s="6" t="s">
        <v>57</v>
      </c>
    </row>
    <row r="33" customFormat="false" ht="15" hidden="false" customHeight="false" outlineLevel="0" collapsed="false">
      <c r="B33" s="6" t="s">
        <v>58</v>
      </c>
      <c r="C33" s="10" t="n">
        <v>0.1</v>
      </c>
      <c r="D33" s="6" t="s">
        <v>19</v>
      </c>
      <c r="E33" s="6" t="s">
        <v>59</v>
      </c>
    </row>
    <row r="34" customFormat="false" ht="15" hidden="false" customHeight="false" outlineLevel="0" collapsed="false">
      <c r="B34" s="6" t="s">
        <v>60</v>
      </c>
      <c r="C34" s="11" t="n">
        <v>0.006</v>
      </c>
      <c r="D34" s="6" t="s">
        <v>19</v>
      </c>
      <c r="E34" s="6"/>
    </row>
    <row r="35" customFormat="false" ht="15" hidden="false" customHeight="false" outlineLevel="0" collapsed="false">
      <c r="B35" s="6" t="s">
        <v>61</v>
      </c>
      <c r="C35" s="10" t="n">
        <v>0.2</v>
      </c>
      <c r="D35" s="6" t="s">
        <v>19</v>
      </c>
      <c r="E35" s="6" t="s">
        <v>62</v>
      </c>
    </row>
    <row r="36" customFormat="false" ht="15" hidden="false" customHeight="false" outlineLevel="0" collapsed="false">
      <c r="B36" s="6" t="s">
        <v>63</v>
      </c>
      <c r="C36" s="10" t="n">
        <v>0.2</v>
      </c>
      <c r="D36" s="6" t="s">
        <v>19</v>
      </c>
      <c r="E36" s="6"/>
    </row>
    <row r="37" customFormat="false" ht="15" hidden="false" customHeight="false" outlineLevel="0" collapsed="false">
      <c r="B37" s="6" t="s">
        <v>64</v>
      </c>
      <c r="C37" s="10" t="n">
        <v>0.05</v>
      </c>
      <c r="D37" s="6" t="s">
        <v>19</v>
      </c>
      <c r="E37" s="6" t="s">
        <v>65</v>
      </c>
    </row>
    <row r="39" customFormat="false" ht="15" hidden="false" customHeight="false" outlineLevel="0" collapsed="false">
      <c r="B39" s="4" t="s">
        <v>66</v>
      </c>
      <c r="C39" s="5"/>
      <c r="D39" s="5"/>
      <c r="E39" s="5"/>
    </row>
    <row r="40" customFormat="false" ht="15" hidden="false" customHeight="false" outlineLevel="0" collapsed="false">
      <c r="B40" s="6" t="s">
        <v>67</v>
      </c>
      <c r="C40" s="12" t="n">
        <v>9.81</v>
      </c>
      <c r="D40" s="6" t="s">
        <v>68</v>
      </c>
      <c r="E40" s="6"/>
    </row>
    <row r="41" customFormat="false" ht="15" hidden="false" customHeight="false" outlineLevel="0" collapsed="false">
      <c r="B41" s="6" t="s">
        <v>69</v>
      </c>
      <c r="C41" s="12" t="n">
        <v>9.81</v>
      </c>
      <c r="D41" s="6" t="s">
        <v>70</v>
      </c>
      <c r="E41" s="6"/>
    </row>
    <row r="42" customFormat="false" ht="15" hidden="false" customHeight="false" outlineLevel="0" collapsed="false">
      <c r="B42" s="6" t="s">
        <v>71</v>
      </c>
      <c r="C42" s="13" t="n">
        <v>1.38</v>
      </c>
      <c r="D42" s="6" t="s">
        <v>72</v>
      </c>
      <c r="E42" s="6" t="s">
        <v>73</v>
      </c>
    </row>
    <row r="43" customFormat="false" ht="15" hidden="false" customHeight="false" outlineLevel="0" collapsed="false">
      <c r="B43" s="6" t="s">
        <v>74</v>
      </c>
      <c r="C43" s="13" t="n">
        <v>0.578</v>
      </c>
      <c r="D43" s="6" t="s">
        <v>72</v>
      </c>
      <c r="E43" s="6" t="s">
        <v>75</v>
      </c>
    </row>
    <row r="44" customFormat="false" ht="15" hidden="false" customHeight="false" outlineLevel="0" collapsed="false">
      <c r="B44" s="6" t="s">
        <v>76</v>
      </c>
      <c r="C44" s="14" t="n">
        <v>0.00085</v>
      </c>
      <c r="D44" s="6" t="s">
        <v>19</v>
      </c>
      <c r="E44" s="6" t="s">
        <v>75</v>
      </c>
    </row>
    <row r="45" customFormat="false" ht="15" hidden="false" customHeight="false" outlineLevel="0" collapsed="false">
      <c r="B45" s="6" t="s">
        <v>77</v>
      </c>
      <c r="C45" s="12" t="n">
        <v>1.84</v>
      </c>
      <c r="D45" s="6" t="s">
        <v>72</v>
      </c>
      <c r="E45" s="6" t="s">
        <v>78</v>
      </c>
    </row>
    <row r="46" customFormat="false" ht="15" hidden="false" customHeight="false" outlineLevel="0" collapsed="false">
      <c r="B46" s="6" t="s">
        <v>79</v>
      </c>
      <c r="C46" s="12" t="n">
        <v>0.6</v>
      </c>
      <c r="D46" s="6" t="s">
        <v>72</v>
      </c>
      <c r="E46" s="6" t="s">
        <v>80</v>
      </c>
    </row>
    <row r="47" customFormat="false" ht="15" hidden="false" customHeight="false" outlineLevel="0" collapsed="false">
      <c r="B47" s="6" t="s">
        <v>81</v>
      </c>
      <c r="C47" s="15" t="n">
        <v>205</v>
      </c>
      <c r="D47" s="6" t="s">
        <v>82</v>
      </c>
      <c r="E47" s="6"/>
    </row>
    <row r="48" customFormat="false" ht="15" hidden="false" customHeight="false" outlineLevel="0" collapsed="false">
      <c r="B48" s="6" t="s">
        <v>83</v>
      </c>
      <c r="C48" s="15" t="n">
        <v>400</v>
      </c>
      <c r="D48" s="6" t="s">
        <v>82</v>
      </c>
      <c r="E48" s="6"/>
    </row>
    <row r="49" customFormat="false" ht="15" hidden="false" customHeight="false" outlineLevel="0" collapsed="false">
      <c r="B49" s="6" t="s">
        <v>84</v>
      </c>
      <c r="C49" s="9" t="n">
        <v>1.7</v>
      </c>
      <c r="D49" s="6" t="s">
        <v>72</v>
      </c>
      <c r="E49" s="6"/>
    </row>
    <row r="51" customFormat="false" ht="15" hidden="false" customHeight="false" outlineLevel="0" collapsed="false">
      <c r="B51" s="4" t="s">
        <v>85</v>
      </c>
      <c r="C51" s="5"/>
      <c r="D51" s="5"/>
      <c r="E51" s="5"/>
    </row>
    <row r="52" customFormat="false" ht="15" hidden="false" customHeight="false" outlineLevel="0" collapsed="false">
      <c r="B52" s="6" t="s">
        <v>86</v>
      </c>
      <c r="C52" s="16" t="s">
        <v>87</v>
      </c>
      <c r="D52" s="6"/>
      <c r="E52" s="6" t="s">
        <v>88</v>
      </c>
    </row>
    <row r="53" customFormat="false" ht="15" hidden="false" customHeight="false" outlineLevel="0" collapsed="false">
      <c r="B53" s="6" t="s">
        <v>89</v>
      </c>
      <c r="C53" s="17" t="s">
        <v>90</v>
      </c>
      <c r="D53" s="6"/>
      <c r="E53" s="6" t="s">
        <v>91</v>
      </c>
    </row>
    <row r="54" customFormat="false" ht="15" hidden="false" customHeight="false" outlineLevel="0" collapsed="false">
      <c r="B54" s="6" t="s">
        <v>92</v>
      </c>
      <c r="C54" s="6" t="s">
        <v>93</v>
      </c>
      <c r="D54" s="6"/>
      <c r="E54" s="6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95</v>
      </c>
    </row>
    <row r="2" customFormat="false" ht="15" hidden="false" customHeight="false" outlineLevel="0" collapsed="false">
      <c r="B2" s="2" t="s">
        <v>96</v>
      </c>
    </row>
    <row r="4" customFormat="false" ht="15" hidden="false" customHeight="false" outlineLevel="0" collapsed="false">
      <c r="B4" s="4" t="s">
        <v>97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98</v>
      </c>
      <c r="C5" s="13" t="n">
        <f aca="false">'1 ข้อมูล'!$C$42</f>
        <v>1.38</v>
      </c>
      <c r="D5" s="6" t="s">
        <v>72</v>
      </c>
      <c r="E5" s="6" t="s">
        <v>99</v>
      </c>
      <c r="F5" s="6"/>
      <c r="G5" s="6"/>
      <c r="H5" s="6"/>
    </row>
    <row r="6" customFormat="false" ht="26.85" hidden="false" customHeight="false" outlineLevel="0" collapsed="false">
      <c r="B6" s="6" t="s">
        <v>100</v>
      </c>
      <c r="C6" s="18" t="n">
        <f aca="false">'1 ข้อมูล'!$C$43*(8/15)*SQRT(2*'1 ข้อมูล'!$C$40)</f>
        <v>1.36545083661038</v>
      </c>
      <c r="D6" s="6" t="s">
        <v>72</v>
      </c>
      <c r="E6" s="6" t="s">
        <v>101</v>
      </c>
      <c r="F6" s="6"/>
      <c r="G6" s="6"/>
      <c r="H6" s="6"/>
    </row>
    <row r="8" customFormat="false" ht="15" hidden="false" customHeight="false" outlineLevel="0" collapsed="false">
      <c r="B8" s="4" t="s">
        <v>102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103</v>
      </c>
      <c r="C9" s="3" t="s">
        <v>104</v>
      </c>
      <c r="D9" s="3" t="s">
        <v>105</v>
      </c>
      <c r="E9" s="3" t="s">
        <v>106</v>
      </c>
      <c r="F9" s="3" t="s">
        <v>107</v>
      </c>
      <c r="G9" s="3" t="s">
        <v>108</v>
      </c>
      <c r="H9" s="3" t="s">
        <v>109</v>
      </c>
    </row>
    <row r="10" customFormat="false" ht="15" hidden="false" customHeight="false" outlineLevel="0" collapsed="false">
      <c r="B10" s="6" t="s">
        <v>110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ข้อมูล'!$C$44)*100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111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ข้อมูล'!$C$44)*100</f>
        <v>16.2227754127948</v>
      </c>
      <c r="G11" s="20" t="n">
        <f aca="false">E11-F11</f>
        <v>0.0160089355143072</v>
      </c>
      <c r="H11" s="6" t="s">
        <v>112</v>
      </c>
    </row>
    <row r="12" customFormat="false" ht="15" hidden="false" customHeight="false" outlineLevel="0" collapsed="false">
      <c r="B12" s="6" t="s">
        <v>113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ข้อมูล'!$C$44)*100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114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ข้อมูล'!$C$44)*100</f>
        <v>20.9706461048468</v>
      </c>
      <c r="G13" s="20" t="n">
        <f aca="false">E13-F13</f>
        <v>-0.00407722858800952</v>
      </c>
      <c r="H13" s="6" t="s">
        <v>115</v>
      </c>
    </row>
    <row r="15" customFormat="false" ht="15" hidden="false" customHeight="false" outlineLevel="0" collapsed="false">
      <c r="B15" s="22" t="s">
        <v>116</v>
      </c>
    </row>
    <row r="16" customFormat="false" ht="15" hidden="false" customHeight="false" outlineLevel="0" collapsed="false">
      <c r="B16" s="22" t="s">
        <v>117</v>
      </c>
    </row>
    <row r="17" customFormat="false" ht="15" hidden="false" customHeight="false" outlineLevel="0" collapsed="false">
      <c r="B17" s="22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119</v>
      </c>
    </row>
    <row r="2" customFormat="false" ht="15" hidden="false" customHeight="false" outlineLevel="0" collapsed="false">
      <c r="B2" s="2" t="s">
        <v>120</v>
      </c>
    </row>
    <row r="4" customFormat="false" ht="15" hidden="false" customHeight="false" outlineLevel="0" collapsed="false">
      <c r="B4" s="3" t="s">
        <v>2</v>
      </c>
      <c r="C4" s="3" t="s">
        <v>121</v>
      </c>
      <c r="D4" s="3" t="s">
        <v>122</v>
      </c>
      <c r="E4" s="3" t="s">
        <v>123</v>
      </c>
      <c r="F4" s="3" t="s">
        <v>4</v>
      </c>
      <c r="G4" s="3" t="s">
        <v>124</v>
      </c>
    </row>
    <row r="6" customFormat="false" ht="15" hidden="false" customHeight="false" outlineLevel="0" collapsed="false">
      <c r="B6" s="4" t="s">
        <v>125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126</v>
      </c>
      <c r="C7" s="6" t="s">
        <v>127</v>
      </c>
      <c r="D7" s="13"/>
      <c r="E7" s="23" t="n">
        <f aca="false">('2 เวียร์'!$E$13/100)</f>
        <v>0.209665688762588</v>
      </c>
      <c r="F7" s="6" t="s">
        <v>19</v>
      </c>
      <c r="G7" s="6" t="s">
        <v>128</v>
      </c>
    </row>
    <row r="8" customFormat="false" ht="15" hidden="false" customHeight="false" outlineLevel="0" collapsed="false">
      <c r="B8" s="6" t="s">
        <v>129</v>
      </c>
      <c r="C8" s="6" t="s">
        <v>130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131</v>
      </c>
    </row>
    <row r="9" customFormat="false" ht="26.85" hidden="false" customHeight="false" outlineLevel="0" collapsed="false">
      <c r="B9" s="6" t="s">
        <v>132</v>
      </c>
      <c r="C9" s="6" t="s">
        <v>133</v>
      </c>
      <c r="D9" s="13" t="n">
        <f aca="false">MAX(0.9,'3 ขนาดบ่อ'!$E$7/0.2)</f>
        <v>1.04832844381294</v>
      </c>
      <c r="E9" s="23" t="n">
        <f aca="false">CEILING(ROUND(D9,4),'1 ข้อมูล'!$C$13)</f>
        <v>1.05</v>
      </c>
      <c r="F9" s="6" t="s">
        <v>19</v>
      </c>
      <c r="G9" s="6" t="s">
        <v>134</v>
      </c>
    </row>
    <row r="10" customFormat="false" ht="15" hidden="false" customHeight="false" outlineLevel="0" collapsed="false">
      <c r="B10" s="6" t="s">
        <v>135</v>
      </c>
      <c r="C10" s="6" t="s">
        <v>136</v>
      </c>
      <c r="D10" s="13" t="n">
        <f aca="false">'3 ขนาดบ่อ'!$E$7+'1 ข้อมูล'!$C$15</f>
        <v>0.289665688762588</v>
      </c>
      <c r="E10" s="23" t="n">
        <f aca="false">CEILING(ROUND(D10,4),'1 ข้อมูล'!$C$13)</f>
        <v>0.3</v>
      </c>
      <c r="F10" s="6" t="s">
        <v>19</v>
      </c>
      <c r="G10" s="6" t="s">
        <v>137</v>
      </c>
    </row>
    <row r="11" customFormat="false" ht="15" hidden="false" customHeight="false" outlineLevel="0" collapsed="false">
      <c r="B11" s="6" t="s">
        <v>138</v>
      </c>
      <c r="C11" s="6" t="s">
        <v>139</v>
      </c>
      <c r="D11" s="13"/>
      <c r="E11" s="23" t="n">
        <f aca="false">2*'3 ขนาดบ่อ'!$E$10</f>
        <v>0.6</v>
      </c>
      <c r="F11" s="6" t="s">
        <v>19</v>
      </c>
      <c r="G11" s="6" t="s">
        <v>140</v>
      </c>
    </row>
    <row r="12" customFormat="false" ht="15" hidden="false" customHeight="false" outlineLevel="0" collapsed="false">
      <c r="B12" s="6" t="s">
        <v>141</v>
      </c>
      <c r="C12" s="6" t="s">
        <v>142</v>
      </c>
      <c r="D12" s="13" t="n">
        <f aca="false">10*'3 ขนาดบ่อ'!$E$7</f>
        <v>2.09665688762588</v>
      </c>
      <c r="E12" s="23" t="n">
        <f aca="false">CEILING(ROUND(D12,4),'1 ข้อมูล'!$C$13)</f>
        <v>2.1</v>
      </c>
      <c r="F12" s="6" t="s">
        <v>19</v>
      </c>
      <c r="G12" s="6" t="s">
        <v>143</v>
      </c>
    </row>
    <row r="13" customFormat="false" ht="15" hidden="false" customHeight="false" outlineLevel="0" collapsed="false">
      <c r="B13" s="6" t="s">
        <v>144</v>
      </c>
      <c r="C13" s="6" t="s">
        <v>145</v>
      </c>
      <c r="D13" s="13" t="n">
        <f aca="false">4.5*'3 ขนาดบ่อ'!$E$7</f>
        <v>0.943495599431645</v>
      </c>
      <c r="E13" s="23" t="n">
        <f aca="false">ROUND(D13/'1 ข้อมูล'!$C$13,0)*'1 ข้อมูล'!$C$13</f>
        <v>0.95</v>
      </c>
      <c r="F13" s="6" t="s">
        <v>19</v>
      </c>
      <c r="G13" s="6" t="s">
        <v>146</v>
      </c>
    </row>
    <row r="14" customFormat="false" ht="15" hidden="false" customHeight="false" outlineLevel="0" collapsed="false">
      <c r="B14" s="6" t="s">
        <v>147</v>
      </c>
      <c r="C14" s="6" t="s">
        <v>148</v>
      </c>
      <c r="D14" s="13" t="n">
        <f aca="false">'3 ขนาดบ่อ'!$E$7/'3 ขนาดบ่อ'!$E$8</f>
        <v>0.349442814604313</v>
      </c>
      <c r="E14" s="17" t="str">
        <f aca="false">IF(D14&lt;=0.4,"ผ่าน ✔","ไม่ผ่าน ✘")</f>
        <v>ผ่าน ✔</v>
      </c>
      <c r="F14" s="6"/>
      <c r="G14" s="6"/>
    </row>
    <row r="15" customFormat="false" ht="15" hidden="false" customHeight="false" outlineLevel="0" collapsed="false">
      <c r="B15" s="6" t="s">
        <v>149</v>
      </c>
      <c r="C15" s="6" t="s">
        <v>150</v>
      </c>
      <c r="D15" s="13" t="n">
        <f aca="false">'3 ขนาดบ่อ'!$E$7/'3 ขนาดบ่อ'!$E$9</f>
        <v>0.199681608345322</v>
      </c>
      <c r="E15" s="17" t="str">
        <f aca="false">IF(D15&lt;=0.2,"ผ่าน ✔","ไม่ผ่าน ✘")</f>
        <v>ผ่าน ✔</v>
      </c>
      <c r="F15" s="6"/>
      <c r="G15" s="6"/>
    </row>
    <row r="16" customFormat="false" ht="15" hidden="false" customHeight="false" outlineLevel="0" collapsed="false">
      <c r="B16" s="6" t="s">
        <v>151</v>
      </c>
      <c r="C16" s="6" t="s">
        <v>152</v>
      </c>
      <c r="D16" s="13" t="n">
        <f aca="false">'3 ขนาดบ่อ'!$E$13/'3 ขนาดบ่อ'!$E$7</f>
        <v>4.5310227229202</v>
      </c>
      <c r="E16" s="17" t="str">
        <f aca="false">IF(AND(D16&gt;=4,D16&lt;=5),"ผ่าน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153</v>
      </c>
      <c r="C17" s="6" t="s">
        <v>154</v>
      </c>
      <c r="D17" s="13" t="n">
        <f aca="false">'2 เวียร์'!$E$10/100</f>
        <v>0.14532869095236</v>
      </c>
      <c r="E17" s="17" t="str">
        <f aca="false">IF(D17&gt;=0.05,"ผ่าน ✔","ไม่ผ่าน ✘")</f>
        <v>ผ่าน ✔</v>
      </c>
      <c r="F17" s="6"/>
      <c r="G17" s="6" t="s">
        <v>155</v>
      </c>
    </row>
    <row r="19" customFormat="false" ht="15" hidden="false" customHeight="false" outlineLevel="0" collapsed="false">
      <c r="B19" s="4" t="s">
        <v>156</v>
      </c>
      <c r="C19" s="5"/>
      <c r="D19" s="5"/>
      <c r="E19" s="5"/>
      <c r="F19" s="5"/>
      <c r="G19" s="5"/>
    </row>
    <row r="20" customFormat="false" ht="15" hidden="false" customHeight="false" outlineLevel="0" collapsed="false">
      <c r="B20" s="6" t="s">
        <v>157</v>
      </c>
      <c r="C20" s="6" t="s">
        <v>158</v>
      </c>
      <c r="D20" s="13"/>
      <c r="E20" s="23" t="n">
        <f aca="false">'1 ข้อมูล'!$C$29/2+('2 เวียร์'!$D$13/('1 ข้อมูล'!$C$46*PI()*'1 ข้อมูล'!$C$29^2/4))^2/(2*'1 ข้อมูล'!$C$40)</f>
        <v>0.210686269183871</v>
      </c>
      <c r="F20" s="6" t="s">
        <v>19</v>
      </c>
      <c r="G20" s="6"/>
    </row>
    <row r="21" customFormat="false" ht="15" hidden="false" customHeight="false" outlineLevel="0" collapsed="false">
      <c r="B21" s="6" t="s">
        <v>159</v>
      </c>
      <c r="C21" s="6" t="s">
        <v>160</v>
      </c>
      <c r="D21" s="13" t="n">
        <f aca="false">'3 ขนาดบ่อ'!$E$8-'3 ขนาดบ่อ'!$E$20</f>
        <v>0.389313730816129</v>
      </c>
      <c r="E21" s="17" t="str">
        <f aca="false">IF(D21&gt;=0.06,"ผ่าน ✔","ไม่ผ่าน ✘")</f>
        <v>ผ่าน ✔</v>
      </c>
      <c r="F21" s="6"/>
      <c r="G21" s="6" t="s">
        <v>161</v>
      </c>
    </row>
    <row r="22" customFormat="false" ht="15" hidden="false" customHeight="false" outlineLevel="0" collapsed="false">
      <c r="B22" s="6" t="s">
        <v>162</v>
      </c>
      <c r="C22" s="6" t="s">
        <v>163</v>
      </c>
      <c r="D22" s="13"/>
      <c r="E22" s="23" t="n">
        <f aca="false">SQRT(2*'1 ข้อมูล'!$C$40*'3 ขนาดบ่อ'!$E$7)</f>
        <v>2.02821123493634</v>
      </c>
      <c r="F22" s="6" t="s">
        <v>34</v>
      </c>
      <c r="G22" s="6" t="s">
        <v>164</v>
      </c>
    </row>
    <row r="23" customFormat="false" ht="15" hidden="false" customHeight="false" outlineLevel="0" collapsed="false">
      <c r="B23" s="6" t="s">
        <v>165</v>
      </c>
      <c r="C23" s="6" t="s">
        <v>166</v>
      </c>
      <c r="D23" s="13"/>
      <c r="E23" s="23" t="n">
        <f aca="false">'3 ขนาดบ่อ'!$E$8+'3 ขนาดบ่อ'!$E$7-'3 ขนาดบ่อ'!$E$20</f>
        <v>0.598979419578717</v>
      </c>
      <c r="F23" s="6" t="s">
        <v>19</v>
      </c>
      <c r="G23" s="6"/>
    </row>
    <row r="24" customFormat="false" ht="15" hidden="false" customHeight="false" outlineLevel="0" collapsed="false">
      <c r="B24" s="6" t="s">
        <v>167</v>
      </c>
      <c r="C24" s="6" t="s">
        <v>168</v>
      </c>
      <c r="D24" s="13"/>
      <c r="E24" s="23" t="n">
        <f aca="false">'3 ขนาดบ่อ'!$E$22*SQRT(2*'3 ขนาดบ่อ'!$E$23/'1 ข้อมูล'!$C$40)</f>
        <v>0.708760700266562</v>
      </c>
      <c r="F24" s="6" t="s">
        <v>19</v>
      </c>
      <c r="G24" s="6" t="s">
        <v>169</v>
      </c>
    </row>
    <row r="25" customFormat="false" ht="15" hidden="false" customHeight="false" outlineLevel="0" collapsed="false">
      <c r="B25" s="6" t="s">
        <v>170</v>
      </c>
      <c r="C25" s="6" t="s">
        <v>171</v>
      </c>
      <c r="D25" s="13" t="n">
        <f aca="false">'3 ขนาดบ่อ'!$E$24+'1 ข้อมูล'!$C$28</f>
        <v>0.908760700266562</v>
      </c>
      <c r="E25" s="23" t="n">
        <f aca="false">CEILING(ROUND(D25,4),'1 ข้อมูล'!$C$13)</f>
        <v>0.95</v>
      </c>
      <c r="F25" s="6" t="s">
        <v>19</v>
      </c>
      <c r="G25" s="6"/>
    </row>
    <row r="27" customFormat="false" ht="15" hidden="false" customHeight="false" outlineLevel="0" collapsed="false">
      <c r="B27" s="4" t="s">
        <v>172</v>
      </c>
      <c r="C27" s="5"/>
      <c r="D27" s="5"/>
      <c r="E27" s="5"/>
      <c r="F27" s="5"/>
      <c r="G27" s="5"/>
    </row>
    <row r="28" customFormat="false" ht="15" hidden="false" customHeight="false" outlineLevel="0" collapsed="false">
      <c r="B28" s="6" t="s">
        <v>173</v>
      </c>
      <c r="C28" s="6" t="s">
        <v>174</v>
      </c>
      <c r="D28" s="13"/>
      <c r="E28" s="23" t="n">
        <f aca="false">'3 ขนาดบ่อ'!$E$8+'3 ขนาดบ่อ'!$E$7</f>
        <v>0.809665688762588</v>
      </c>
      <c r="F28" s="6" t="s">
        <v>19</v>
      </c>
      <c r="G28" s="6"/>
    </row>
    <row r="29" customFormat="false" ht="15" hidden="false" customHeight="false" outlineLevel="0" collapsed="false">
      <c r="B29" s="6" t="s">
        <v>175</v>
      </c>
      <c r="C29" s="6" t="s">
        <v>176</v>
      </c>
      <c r="D29" s="13"/>
      <c r="E29" s="23" t="n">
        <f aca="false">'2 เวียร์'!$D$13/('3 ขนาดบ่อ'!$E$9*'3 ขนาดบ่อ'!$E$28)</f>
        <v>0.0326740120301475</v>
      </c>
      <c r="F29" s="6" t="s">
        <v>34</v>
      </c>
      <c r="G29" s="6"/>
    </row>
    <row r="30" customFormat="false" ht="15" hidden="false" customHeight="false" outlineLevel="0" collapsed="false">
      <c r="B30" s="6" t="s">
        <v>177</v>
      </c>
      <c r="C30" s="6" t="s">
        <v>178</v>
      </c>
      <c r="D30" s="13"/>
      <c r="E30" s="23" t="n">
        <f aca="false">'3 ขนาดบ่อ'!$E$28/'1 ข้อมูล'!$C$26*'3 ขนาดบ่อ'!$E$29</f>
        <v>0.264550264550265</v>
      </c>
      <c r="F30" s="6" t="s">
        <v>19</v>
      </c>
      <c r="G30" s="6"/>
    </row>
    <row r="31" customFormat="false" ht="15" hidden="false" customHeight="false" outlineLevel="0" collapsed="false">
      <c r="B31" s="6" t="s">
        <v>179</v>
      </c>
      <c r="C31" s="6" t="s">
        <v>180</v>
      </c>
      <c r="D31" s="13" t="n">
        <f aca="false">MAX('1 ข้อมูล'!$C$27,'3 ขนาดบ่อ'!$E$30)</f>
        <v>0.5</v>
      </c>
      <c r="E31" s="23" t="n">
        <f aca="false">CEILING(ROUND(D31,4),'1 ข้อมูล'!$C$13)</f>
        <v>0.5</v>
      </c>
      <c r="F31" s="6" t="s">
        <v>19</v>
      </c>
      <c r="G31" s="6"/>
    </row>
    <row r="33" customFormat="false" ht="15" hidden="false" customHeight="false" outlineLevel="0" collapsed="false">
      <c r="B33" s="4" t="s">
        <v>181</v>
      </c>
      <c r="C33" s="5"/>
      <c r="D33" s="5"/>
      <c r="E33" s="5"/>
      <c r="F33" s="5"/>
      <c r="G33" s="5"/>
    </row>
    <row r="34" customFormat="false" ht="15" hidden="false" customHeight="false" outlineLevel="0" collapsed="false">
      <c r="B34" s="6" t="s">
        <v>182</v>
      </c>
      <c r="C34" s="6" t="s">
        <v>183</v>
      </c>
      <c r="D34" s="13"/>
      <c r="E34" s="23" t="n">
        <f aca="false">'1 ข้อมูล'!$C$17+('2 เวียร์'!$D$13/('1 ข้อมูล'!$C$45*'3 ขนาดบ่อ'!$E$9))^(2/3)</f>
        <v>0.0791280538460372</v>
      </c>
      <c r="F34" s="6" t="s">
        <v>19</v>
      </c>
      <c r="G34" s="6" t="s">
        <v>184</v>
      </c>
    </row>
    <row r="35" customFormat="false" ht="15" hidden="false" customHeight="false" outlineLevel="0" collapsed="false">
      <c r="B35" s="6" t="s">
        <v>185</v>
      </c>
      <c r="C35" s="6" t="s">
        <v>186</v>
      </c>
      <c r="D35" s="13" t="n">
        <f aca="false">'3 ขนาดบ่อ'!$E$28+'1 ข้อมูล'!$C$16-'1 ข้อมูล'!$C$17</f>
        <v>0.889665688762588</v>
      </c>
      <c r="E35" s="23" t="n">
        <f aca="false">CEILING(ROUND(D35,4),'1 ข้อมูล'!$C$13)</f>
        <v>0.9</v>
      </c>
      <c r="F35" s="6" t="s">
        <v>19</v>
      </c>
      <c r="G35" s="6" t="s">
        <v>26</v>
      </c>
    </row>
    <row r="36" customFormat="false" ht="15" hidden="false" customHeight="false" outlineLevel="0" collapsed="false">
      <c r="B36" s="6" t="s">
        <v>187</v>
      </c>
      <c r="C36" s="6" t="s">
        <v>188</v>
      </c>
      <c r="D36" s="13" t="n">
        <f aca="false">10*'3 ขนาดบ่อ'!$E$34</f>
        <v>0.791280538460372</v>
      </c>
      <c r="E36" s="23" t="n">
        <f aca="false">CEILING(ROUND(D36,4),'1 ข้อมูล'!$C$13)</f>
        <v>0.8</v>
      </c>
      <c r="F36" s="6" t="s">
        <v>19</v>
      </c>
      <c r="G36" s="6" t="s">
        <v>189</v>
      </c>
    </row>
    <row r="37" customFormat="false" ht="15" hidden="false" customHeight="false" outlineLevel="0" collapsed="false">
      <c r="B37" s="6" t="s">
        <v>190</v>
      </c>
      <c r="C37" s="6" t="s">
        <v>191</v>
      </c>
      <c r="D37" s="13"/>
      <c r="E37" s="23" t="n">
        <f aca="false">'1 ข้อมูล'!$C$18</f>
        <v>1</v>
      </c>
      <c r="F37" s="6" t="s">
        <v>19</v>
      </c>
      <c r="G37" s="6"/>
    </row>
    <row r="38" customFormat="false" ht="15" hidden="false" customHeight="false" outlineLevel="0" collapsed="false">
      <c r="B38" s="6" t="s">
        <v>192</v>
      </c>
      <c r="C38" s="6"/>
      <c r="D38" s="13" t="n">
        <f aca="false">'3 ขนาดบ่อ'!$E$37-'3 ขนาดบ่อ'!$E$36</f>
        <v>0.2</v>
      </c>
      <c r="E38" s="17" t="str">
        <f aca="false">IF(D38&gt;=0,"ผ่าน ✔","ไม่ผ่าน ✘")</f>
        <v>ผ่าน ✔</v>
      </c>
      <c r="F38" s="6"/>
      <c r="G38" s="6"/>
    </row>
    <row r="40" customFormat="false" ht="15" hidden="false" customHeight="false" outlineLevel="0" collapsed="false">
      <c r="B40" s="4" t="s">
        <v>193</v>
      </c>
      <c r="C40" s="5"/>
      <c r="D40" s="5"/>
      <c r="E40" s="5"/>
      <c r="F40" s="5"/>
      <c r="G40" s="5"/>
    </row>
    <row r="41" customFormat="false" ht="15" hidden="false" customHeight="false" outlineLevel="0" collapsed="false">
      <c r="B41" s="6" t="s">
        <v>194</v>
      </c>
      <c r="C41" s="6" t="s">
        <v>195</v>
      </c>
      <c r="D41" s="13" t="n">
        <f aca="false">'2 เวียร์'!$D$13/('3 ขนาดบ่อ'!$E$9*'1 ข้อมูล'!$C$20)</f>
        <v>0.264550264550265</v>
      </c>
      <c r="E41" s="23" t="n">
        <f aca="false">CEILING(ROUND(D41,4),'1 ข้อมูล'!$C$13)</f>
        <v>0.3</v>
      </c>
      <c r="F41" s="6" t="s">
        <v>19</v>
      </c>
      <c r="G41" s="6"/>
    </row>
    <row r="42" customFormat="false" ht="15" hidden="false" customHeight="false" outlineLevel="0" collapsed="false">
      <c r="B42" s="6" t="s">
        <v>196</v>
      </c>
      <c r="C42" s="6" t="s">
        <v>197</v>
      </c>
      <c r="D42" s="13" t="n">
        <f aca="false">'1 ข้อมูล'!$C$21+2*'1 ข้อมูล'!$C$22</f>
        <v>0.468</v>
      </c>
      <c r="E42" s="23" t="n">
        <f aca="false">CEILING(ROUND(D42,4),'1 ข้อมูล'!$C$13)</f>
        <v>0.5</v>
      </c>
      <c r="F42" s="6" t="s">
        <v>19</v>
      </c>
      <c r="G42" s="6"/>
    </row>
    <row r="43" customFormat="false" ht="15" hidden="false" customHeight="false" outlineLevel="0" collapsed="false">
      <c r="B43" s="6" t="s">
        <v>198</v>
      </c>
      <c r="C43" s="6" t="s">
        <v>199</v>
      </c>
      <c r="D43" s="13"/>
      <c r="E43" s="23" t="n">
        <f aca="false">'1 ข้อมูล'!$C$23</f>
        <v>0.1</v>
      </c>
      <c r="F43" s="6" t="s">
        <v>19</v>
      </c>
      <c r="G43" s="6"/>
    </row>
    <row r="44" customFormat="false" ht="15" hidden="false" customHeight="false" outlineLevel="0" collapsed="false">
      <c r="B44" s="6" t="s">
        <v>200</v>
      </c>
      <c r="C44" s="6" t="s">
        <v>201</v>
      </c>
      <c r="D44" s="13" t="n">
        <f aca="false">'1 ข้อมูล'!$C$24+2*'1 ข้อมูล'!$C$25</f>
        <v>1</v>
      </c>
      <c r="E44" s="23" t="n">
        <f aca="false">CEILING(ROUND(D44,4),'1 ข้อมูล'!$C$13)</f>
        <v>1</v>
      </c>
      <c r="F44" s="6" t="s">
        <v>19</v>
      </c>
      <c r="G44" s="6"/>
    </row>
    <row r="45" customFormat="false" ht="15" hidden="false" customHeight="false" outlineLevel="0" collapsed="false">
      <c r="B45" s="6" t="s">
        <v>202</v>
      </c>
      <c r="C45" s="6" t="s">
        <v>203</v>
      </c>
      <c r="D45" s="13"/>
      <c r="E45" s="23" t="n">
        <f aca="false">'3 ขนาดบ่อ'!$E$42+'3 ขนาดบ่อ'!$E$43+'3 ขนาดบ่อ'!$E$44</f>
        <v>1.6</v>
      </c>
      <c r="F45" s="6" t="s">
        <v>19</v>
      </c>
      <c r="G45" s="6"/>
    </row>
    <row r="46" customFormat="false" ht="15" hidden="false" customHeight="false" outlineLevel="0" collapsed="false">
      <c r="B46" s="6" t="s">
        <v>204</v>
      </c>
      <c r="C46" s="6" t="s">
        <v>205</v>
      </c>
      <c r="D46" s="13"/>
      <c r="E46" s="23" t="n">
        <f aca="false">'2 เวียร์'!$D$13/('3 ขนาดบ่อ'!$E$9*'3 ขนาดบ่อ'!$E$34)</f>
        <v>0.334331822522782</v>
      </c>
      <c r="F46" s="6" t="s">
        <v>34</v>
      </c>
      <c r="G46" s="6"/>
    </row>
    <row r="47" customFormat="false" ht="15" hidden="false" customHeight="false" outlineLevel="0" collapsed="false">
      <c r="B47" s="6" t="s">
        <v>206</v>
      </c>
      <c r="C47" s="6" t="s">
        <v>207</v>
      </c>
      <c r="D47" s="13"/>
      <c r="E47" s="23" t="n">
        <f aca="false">'3 ขนาดบ่อ'!$E$35+'3 ขนาดบ่อ'!$E$34+1.5*'3 ขนาดบ่อ'!$E$46^2/(2*'1 ข้อมูล'!$C$40)</f>
        <v>0.987673754729172</v>
      </c>
      <c r="F47" s="6" t="s">
        <v>19</v>
      </c>
      <c r="G47" s="6" t="s">
        <v>208</v>
      </c>
    </row>
    <row r="49" customFormat="false" ht="15" hidden="false" customHeight="false" outlineLevel="0" collapsed="false">
      <c r="B49" s="4" t="s">
        <v>209</v>
      </c>
      <c r="C49" s="5"/>
      <c r="D49" s="5"/>
      <c r="E49" s="5"/>
      <c r="F49" s="5"/>
      <c r="G49" s="5"/>
    </row>
    <row r="50" customFormat="false" ht="15" hidden="false" customHeight="false" outlineLevel="0" collapsed="false">
      <c r="B50" s="6" t="s">
        <v>210</v>
      </c>
      <c r="C50" s="6" t="s">
        <v>211</v>
      </c>
      <c r="D50" s="13" t="n">
        <f aca="false">'3 ขนาดบ่อ'!$E$47+'1 ข้อมูล'!$C$19</f>
        <v>1.18767375472917</v>
      </c>
      <c r="E50" s="23" t="n">
        <f aca="false">CEILING(ROUND(D50,4),'1 ข้อมูล'!$C$13)</f>
        <v>1.2</v>
      </c>
      <c r="F50" s="6" t="s">
        <v>19</v>
      </c>
      <c r="G50" s="6" t="s">
        <v>212</v>
      </c>
    </row>
    <row r="52" customFormat="false" ht="15" hidden="false" customHeight="false" outlineLevel="0" collapsed="false">
      <c r="B52" s="4" t="s">
        <v>213</v>
      </c>
      <c r="C52" s="5"/>
      <c r="D52" s="5"/>
      <c r="E52" s="5"/>
      <c r="F52" s="5"/>
      <c r="G52" s="5"/>
    </row>
    <row r="53" customFormat="false" ht="15" hidden="false" customHeight="false" outlineLevel="0" collapsed="false">
      <c r="B53" s="6" t="s">
        <v>214</v>
      </c>
      <c r="C53" s="6" t="s">
        <v>215</v>
      </c>
      <c r="D53" s="13"/>
      <c r="E53" s="23" t="n">
        <f aca="false">'3 ขนาดบ่อ'!$E$8-'1 ข้อมูล'!$C$30</f>
        <v>0.5</v>
      </c>
      <c r="F53" s="6" t="s">
        <v>19</v>
      </c>
      <c r="G53" s="6" t="s">
        <v>216</v>
      </c>
    </row>
    <row r="54" customFormat="false" ht="15" hidden="false" customHeight="false" outlineLevel="0" collapsed="false">
      <c r="B54" s="6" t="s">
        <v>217</v>
      </c>
      <c r="C54" s="6" t="s">
        <v>218</v>
      </c>
      <c r="D54" s="13"/>
      <c r="E54" s="23" t="n">
        <f aca="false">'3 ขนาดบ่อ'!$E$9+2*'1 ข้อมูล'!$C$33</f>
        <v>1.25</v>
      </c>
      <c r="F54" s="6" t="s">
        <v>19</v>
      </c>
      <c r="G54" s="6"/>
    </row>
    <row r="55" customFormat="false" ht="15" hidden="false" customHeight="false" outlineLevel="0" collapsed="false">
      <c r="B55" s="6" t="s">
        <v>219</v>
      </c>
      <c r="C55" s="6" t="s">
        <v>220</v>
      </c>
      <c r="D55" s="13"/>
      <c r="E55" s="23" t="n">
        <f aca="false">'3 ขนาดบ่อ'!$E$53-'1 ข้อมูล'!$C$31</f>
        <v>0.4</v>
      </c>
      <c r="F55" s="6" t="s">
        <v>19</v>
      </c>
      <c r="G55" s="6" t="s">
        <v>221</v>
      </c>
    </row>
    <row r="56" customFormat="false" ht="15" hidden="false" customHeight="false" outlineLevel="0" collapsed="false">
      <c r="B56" s="6" t="s">
        <v>222</v>
      </c>
      <c r="C56" s="6" t="s">
        <v>223</v>
      </c>
      <c r="D56" s="13"/>
      <c r="E56" s="23" t="n">
        <f aca="false">'3 ขนาดบ่อ'!$E$8+'3 ขนาดบ่อ'!$E$10+'1 ข้อมูล'!$C$32</f>
        <v>1</v>
      </c>
      <c r="F56" s="6" t="s">
        <v>19</v>
      </c>
      <c r="G56" s="6"/>
    </row>
    <row r="57" customFormat="false" ht="15" hidden="false" customHeight="false" outlineLevel="0" collapsed="false">
      <c r="B57" s="6" t="s">
        <v>224</v>
      </c>
      <c r="C57" s="6" t="s">
        <v>225</v>
      </c>
      <c r="D57" s="13"/>
      <c r="E57" s="23" t="n">
        <f aca="false">'3 ขนาดบ่อ'!$E$56-'3 ขนาดบ่อ'!$E$55</f>
        <v>0.6</v>
      </c>
      <c r="F57" s="6" t="s">
        <v>19</v>
      </c>
      <c r="G57" s="6"/>
    </row>
    <row r="58" customFormat="false" ht="15" hidden="false" customHeight="false" outlineLevel="0" collapsed="false">
      <c r="B58" s="6" t="s">
        <v>226</v>
      </c>
      <c r="C58" s="6" t="s">
        <v>227</v>
      </c>
      <c r="D58" s="13"/>
      <c r="E58" s="23" t="n">
        <f aca="false">'3 ขนาดบ่อ'!$E$28-'3 ขนาดบ่อ'!$E$53</f>
        <v>0.309665688762588</v>
      </c>
      <c r="F58" s="6" t="s">
        <v>19</v>
      </c>
      <c r="G58" s="6"/>
    </row>
    <row r="59" customFormat="false" ht="15" hidden="false" customHeight="false" outlineLevel="0" collapsed="false">
      <c r="B59" s="6" t="s">
        <v>228</v>
      </c>
      <c r="C59" s="6" t="s">
        <v>229</v>
      </c>
      <c r="D59" s="13"/>
      <c r="E59" s="23" t="n">
        <f aca="false">'1 ข้อมูล'!$C$41*'3 ขนาดบ่อ'!$E$58^3/6</f>
        <v>0.0485508704265308</v>
      </c>
      <c r="F59" s="6" t="s">
        <v>230</v>
      </c>
      <c r="G59" s="6" t="s">
        <v>231</v>
      </c>
    </row>
    <row r="60" customFormat="false" ht="15" hidden="false" customHeight="false" outlineLevel="0" collapsed="false">
      <c r="B60" s="6" t="s">
        <v>232</v>
      </c>
      <c r="C60" s="6" t="s">
        <v>233</v>
      </c>
      <c r="D60" s="13"/>
      <c r="E60" s="23" t="n">
        <f aca="false">'3 ขนาดบ่อ'!$E$59/('1 ข้อมูล'!$C$34^2/6)/1000</f>
        <v>8.09181173775513</v>
      </c>
      <c r="F60" s="6" t="s">
        <v>82</v>
      </c>
      <c r="G60" s="6"/>
    </row>
    <row r="61" customFormat="false" ht="15" hidden="false" customHeight="false" outlineLevel="0" collapsed="false">
      <c r="B61" s="6" t="s">
        <v>234</v>
      </c>
      <c r="C61" s="6" t="s">
        <v>235</v>
      </c>
      <c r="D61" s="13" t="n">
        <f aca="false">'3 ขนาดบ่อ'!$E$60</f>
        <v>8.09181173775513</v>
      </c>
      <c r="E61" s="17" t="str">
        <f aca="false">IF(D61&lt;=0.6*'1 ข้อมูล'!$C$47,"ผ่าน ✔","ไม่ผ่าน ✘")</f>
        <v>ผ่าน ✔</v>
      </c>
      <c r="F61" s="6"/>
      <c r="G61" s="6" t="s">
        <v>236</v>
      </c>
    </row>
    <row r="63" customFormat="false" ht="15" hidden="false" customHeight="false" outlineLevel="0" collapsed="false">
      <c r="B63" s="4" t="s">
        <v>237</v>
      </c>
      <c r="C63" s="5"/>
      <c r="D63" s="5"/>
      <c r="E63" s="5"/>
      <c r="F63" s="5"/>
      <c r="G63" s="5"/>
    </row>
    <row r="64" customFormat="false" ht="15" hidden="false" customHeight="false" outlineLevel="0" collapsed="false">
      <c r="B64" s="6" t="s">
        <v>238</v>
      </c>
      <c r="C64" s="6" t="s">
        <v>239</v>
      </c>
      <c r="D64" s="13"/>
      <c r="E64" s="23" t="n">
        <f aca="false">'1 ข้อมูล'!$C$41*'3 ขนาดบ่อ'!$E$50^3/6</f>
        <v>2.82528</v>
      </c>
      <c r="F64" s="6" t="s">
        <v>230</v>
      </c>
      <c r="G64" s="6" t="s">
        <v>240</v>
      </c>
    </row>
    <row r="65" customFormat="false" ht="15" hidden="false" customHeight="false" outlineLevel="0" collapsed="false">
      <c r="B65" s="6" t="s">
        <v>241</v>
      </c>
      <c r="C65" s="6" t="s">
        <v>242</v>
      </c>
      <c r="D65" s="13"/>
      <c r="E65" s="23" t="n">
        <f aca="false">'1 ข้อมูล'!$C$49*'3 ขนาดบ่อ'!$E$64</f>
        <v>4.802976</v>
      </c>
      <c r="F65" s="6" t="s">
        <v>230</v>
      </c>
      <c r="G65" s="6"/>
    </row>
    <row r="66" customFormat="false" ht="15" hidden="false" customHeight="false" outlineLevel="0" collapsed="false">
      <c r="B66" s="6" t="s">
        <v>243</v>
      </c>
      <c r="C66" s="6" t="s">
        <v>244</v>
      </c>
      <c r="D66" s="13"/>
      <c r="E66" s="23" t="n">
        <f aca="false">'1 ข้อมูล'!$C$35-'1 ข้อมูล'!$C$37-0.006</f>
        <v>0.144</v>
      </c>
      <c r="F66" s="6" t="s">
        <v>19</v>
      </c>
      <c r="G66" s="6" t="s">
        <v>245</v>
      </c>
    </row>
    <row r="67" customFormat="false" ht="15" hidden="false" customHeight="false" outlineLevel="0" collapsed="false">
      <c r="B67" s="6" t="s">
        <v>246</v>
      </c>
      <c r="C67" s="6" t="s">
        <v>247</v>
      </c>
      <c r="D67" s="13"/>
      <c r="E67" s="23" t="n">
        <f aca="false">'3 ขนาดบ่อ'!$E$65/(0.9*'1 ข้อมูล'!$C$48*1000*0.9*'3 ขนาดบ่อ'!$E$66)*1000000</f>
        <v>102.944444444444</v>
      </c>
      <c r="F67" s="6" t="s">
        <v>248</v>
      </c>
      <c r="G67" s="6"/>
    </row>
    <row r="68" customFormat="false" ht="15" hidden="false" customHeight="false" outlineLevel="0" collapsed="false">
      <c r="B68" s="6" t="s">
        <v>249</v>
      </c>
      <c r="C68" s="6" t="s">
        <v>250</v>
      </c>
      <c r="D68" s="13"/>
      <c r="E68" s="23" t="n">
        <f aca="false">0.003*1000*'1 ข้อมูล'!$C$35*1000</f>
        <v>600</v>
      </c>
      <c r="F68" s="6" t="s">
        <v>248</v>
      </c>
      <c r="G68" s="6" t="s">
        <v>251</v>
      </c>
    </row>
    <row r="69" customFormat="false" ht="15" hidden="false" customHeight="false" outlineLevel="0" collapsed="false">
      <c r="B69" s="6" t="s">
        <v>252</v>
      </c>
      <c r="C69" s="6" t="s">
        <v>253</v>
      </c>
      <c r="D69" s="13"/>
      <c r="E69" s="23" t="n">
        <f aca="false">FLOOR(113/MAX('3 ขนาดบ่อ'!$E$67,'3 ขนาดบ่อ'!$E$68)*1000,25)</f>
        <v>175</v>
      </c>
      <c r="F69" s="6" t="s">
        <v>254</v>
      </c>
      <c r="G69" s="6"/>
    </row>
    <row r="70" customFormat="false" ht="15" hidden="false" customHeight="false" outlineLevel="0" collapsed="false">
      <c r="B70" s="6" t="s">
        <v>255</v>
      </c>
      <c r="C70" s="6"/>
      <c r="D70" s="13" t="n">
        <f aca="false">'3 ขนาดบ่อ'!$E$69</f>
        <v>175</v>
      </c>
      <c r="E70" s="17" t="str">
        <f aca="false">IF(D70&gt;=100,"ผ่าน ✔","ไม่ผ่าน ✘")</f>
        <v>ผ่าน ✔</v>
      </c>
      <c r="F70" s="6"/>
      <c r="G70" s="6" t="s">
        <v>256</v>
      </c>
    </row>
    <row r="72" customFormat="false" ht="15" hidden="false" customHeight="false" outlineLevel="0" collapsed="false">
      <c r="B72" s="4" t="s">
        <v>257</v>
      </c>
      <c r="C72" s="5"/>
      <c r="D72" s="5"/>
      <c r="E72" s="5"/>
      <c r="F72" s="5"/>
      <c r="G72" s="5"/>
    </row>
    <row r="73" customFormat="false" ht="15" hidden="false" customHeight="false" outlineLevel="0" collapsed="false">
      <c r="B73" s="6" t="s">
        <v>258</v>
      </c>
      <c r="C73" s="6" t="s">
        <v>259</v>
      </c>
      <c r="D73" s="13"/>
      <c r="E73" s="23" t="n">
        <f aca="false">'3 ขนาดบ่อ'!$E$31+'3 ขนาดบ่อ'!$E$12+'1 ข้อมูล'!$C$35+'3 ขนาดบ่อ'!$E$25</f>
        <v>3.75</v>
      </c>
      <c r="F73" s="6" t="s">
        <v>19</v>
      </c>
      <c r="G73" s="6"/>
    </row>
    <row r="74" customFormat="false" ht="15" hidden="false" customHeight="false" outlineLevel="0" collapsed="false">
      <c r="B74" s="6" t="s">
        <v>260</v>
      </c>
      <c r="C74" s="6" t="s">
        <v>261</v>
      </c>
      <c r="D74" s="13"/>
      <c r="E74" s="23" t="n">
        <f aca="false">'3 ขนาดบ่อ'!$E$45+'3 ขนาดบ่อ'!$E$37+'3 ขนาดบ่อ'!$E$73</f>
        <v>6.35</v>
      </c>
      <c r="F74" s="6" t="s">
        <v>19</v>
      </c>
      <c r="G74" s="6"/>
    </row>
    <row r="75" customFormat="false" ht="15" hidden="false" customHeight="false" outlineLevel="0" collapsed="false">
      <c r="B75" s="6" t="s">
        <v>262</v>
      </c>
      <c r="C75" s="6" t="s">
        <v>263</v>
      </c>
      <c r="D75" s="13"/>
      <c r="E75" s="23" t="n">
        <f aca="false">'3 ขนาดบ่อ'!$E$9</f>
        <v>1.05</v>
      </c>
      <c r="F75" s="6" t="s">
        <v>19</v>
      </c>
      <c r="G75" s="6"/>
    </row>
    <row r="76" customFormat="false" ht="15" hidden="false" customHeight="false" outlineLevel="0" collapsed="false">
      <c r="B76" s="6" t="s">
        <v>264</v>
      </c>
      <c r="C76" s="6" t="s">
        <v>265</v>
      </c>
      <c r="D76" s="13"/>
      <c r="E76" s="23" t="n">
        <f aca="false">'3 ขนาดบ่อ'!$E$50</f>
        <v>1.2</v>
      </c>
      <c r="F76" s="6" t="s">
        <v>19</v>
      </c>
      <c r="G76" s="6"/>
    </row>
    <row r="77" customFormat="false" ht="15" hidden="false" customHeight="false" outlineLevel="0" collapsed="false">
      <c r="B77" s="6" t="s">
        <v>266</v>
      </c>
      <c r="C77" s="6" t="s">
        <v>267</v>
      </c>
      <c r="D77" s="13"/>
      <c r="E77" s="23" t="n">
        <f aca="false">'3 ขนาดบ่อ'!$E$74+2*'1 ข้อมูล'!$C$35</f>
        <v>6.75</v>
      </c>
      <c r="F77" s="6" t="s">
        <v>19</v>
      </c>
      <c r="G77" s="6"/>
    </row>
    <row r="78" customFormat="false" ht="15" hidden="false" customHeight="false" outlineLevel="0" collapsed="false">
      <c r="B78" s="6" t="s">
        <v>268</v>
      </c>
      <c r="C78" s="6" t="s">
        <v>267</v>
      </c>
      <c r="D78" s="13"/>
      <c r="E78" s="23" t="n">
        <f aca="false">'3 ขนาดบ่อ'!$E$75+2*'1 ข้อมูล'!$C$35</f>
        <v>1.45</v>
      </c>
      <c r="F78" s="6" t="s">
        <v>19</v>
      </c>
      <c r="G78" s="6"/>
    </row>
    <row r="79" customFormat="false" ht="15" hidden="false" customHeight="false" outlineLevel="0" collapsed="false">
      <c r="B79" s="6" t="s">
        <v>269</v>
      </c>
      <c r="C79" s="6" t="s">
        <v>270</v>
      </c>
      <c r="D79" s="13"/>
      <c r="E79" s="23" t="n">
        <f aca="false">'3 ขนาดบ่อ'!$E$76+'1 ข้อมูล'!$C$36</f>
        <v>1.4</v>
      </c>
      <c r="F79" s="6" t="s">
        <v>19</v>
      </c>
      <c r="G7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271</v>
      </c>
    </row>
    <row r="2" customFormat="false" ht="15" hidden="false" customHeight="false" outlineLevel="0" collapsed="false">
      <c r="B2" s="2" t="s">
        <v>272</v>
      </c>
    </row>
    <row r="4" customFormat="false" ht="57.75" hidden="false" customHeight="true" outlineLevel="0" collapsed="false">
      <c r="B4" s="3" t="s">
        <v>103</v>
      </c>
      <c r="C4" s="3" t="s">
        <v>273</v>
      </c>
      <c r="D4" s="3" t="s">
        <v>274</v>
      </c>
      <c r="E4" s="3" t="s">
        <v>275</v>
      </c>
      <c r="F4" s="3" t="s">
        <v>276</v>
      </c>
      <c r="G4" s="3" t="s">
        <v>277</v>
      </c>
      <c r="H4" s="3" t="s">
        <v>278</v>
      </c>
      <c r="I4" s="3" t="s">
        <v>279</v>
      </c>
    </row>
    <row r="5" customFormat="false" ht="15" hidden="false" customHeight="false" outlineLevel="0" collapsed="false">
      <c r="B5" s="6" t="s">
        <v>110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ข้อมูล'!$C$45*'3 ขนาดบ่อ'!$E$9))^(2/3)*100</f>
        <v>3.20996461989311</v>
      </c>
      <c r="F5" s="19" t="n">
        <f aca="false">'1 ข้อมูล'!$C$17*100+E5</f>
        <v>5.20996461989311</v>
      </c>
      <c r="G5" s="12" t="n">
        <f aca="false">D5/('3 ขนาดบ่อ'!$E$9*F5/100)</f>
        <v>0.203110987387621</v>
      </c>
      <c r="H5" s="12" t="n">
        <f aca="false">G5/SQRT('1 ข้อมูล'!$C$40*F5/100)</f>
        <v>0.284106733367315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111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ข้อมูล'!$C$45*'3 ขนาดบ่อ'!$E$9))^(2/3)*100</f>
        <v>3.86222140891387</v>
      </c>
      <c r="F6" s="19" t="n">
        <f aca="false">'1 ข้อมูล'!$C$17*100+E6</f>
        <v>5.86222140891387</v>
      </c>
      <c r="G6" s="12" t="n">
        <f aca="false">D6/('3 ขนาดบ่อ'!$E$9*F6/100)</f>
        <v>0.23823817642711</v>
      </c>
      <c r="H6" s="12" t="n">
        <f aca="false">G6/SQRT('1 ข้อมูล'!$C$40*F6/100)</f>
        <v>0.314156278671783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113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ข้อมูล'!$C$45*'3 ขนาดบ่อ'!$E$9))^(2/3)*100</f>
        <v>5.5117383277259</v>
      </c>
      <c r="F7" s="19" t="n">
        <f aca="false">'1 ข้อมูล'!$C$17*100+E7</f>
        <v>7.5117383277259</v>
      </c>
      <c r="G7" s="12" t="n">
        <f aca="false">D7/('3 ขนาดบ่อ'!$E$9*F7/100)</f>
        <v>0.316964233453695</v>
      </c>
      <c r="H7" s="12" t="n">
        <f aca="false">G7/SQRT('1 ข้อมูล'!$C$40*F7/100)</f>
        <v>0.369237268621783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114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ข้อมูล'!$C$45*'3 ขนาดบ่อ'!$E$9))^(2/3)*100</f>
        <v>5.91280538460372</v>
      </c>
      <c r="F8" s="19" t="n">
        <f aca="false">'1 ข้อมูล'!$C$17*100+E8</f>
        <v>7.91280538460372</v>
      </c>
      <c r="G8" s="12" t="n">
        <f aca="false">D8/('3 ขนาดบ่อ'!$E$9*F8/100)</f>
        <v>0.334331822522782</v>
      </c>
      <c r="H8" s="12" t="n">
        <f aca="false">G8/SQRT('1 ข้อมูล'!$C$40*F8/100)</f>
        <v>0.379470456623503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280</v>
      </c>
    </row>
    <row r="11" customFormat="false" ht="15" hidden="false" customHeight="false" outlineLevel="0" collapsed="false">
      <c r="B11" s="22" t="s">
        <v>281</v>
      </c>
    </row>
    <row r="12" customFormat="false" ht="15" hidden="false" customHeight="false" outlineLevel="0" collapsed="false">
      <c r="B12" s="22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283</v>
      </c>
    </row>
    <row r="2" customFormat="false" ht="15" hidden="false" customHeight="false" outlineLevel="0" collapsed="false">
      <c r="B2" s="2" t="s">
        <v>284</v>
      </c>
    </row>
    <row r="4" customFormat="false" ht="15" hidden="false" customHeight="false" outlineLevel="0" collapsed="false">
      <c r="B4" s="3" t="s">
        <v>285</v>
      </c>
      <c r="C4" s="3" t="s">
        <v>19</v>
      </c>
      <c r="D4" s="3" t="s">
        <v>286</v>
      </c>
    </row>
    <row r="5" customFormat="false" ht="15" hidden="false" customHeight="false" outlineLevel="0" collapsed="false">
      <c r="B5" s="6" t="s">
        <v>265</v>
      </c>
      <c r="C5" s="24" t="n">
        <f aca="false">'3 ขนาดบ่อ'!$E$50</f>
        <v>1.2</v>
      </c>
      <c r="D5" s="6" t="s">
        <v>211</v>
      </c>
    </row>
    <row r="6" customFormat="false" ht="15" hidden="false" customHeight="false" outlineLevel="0" collapsed="false">
      <c r="B6" s="6" t="s">
        <v>287</v>
      </c>
      <c r="C6" s="24" t="n">
        <f aca="false">'3 ขนาดบ่อ'!$E$47</f>
        <v>0.987673754729172</v>
      </c>
      <c r="D6" s="6" t="s">
        <v>288</v>
      </c>
    </row>
    <row r="7" customFormat="false" ht="15" hidden="false" customHeight="false" outlineLevel="0" collapsed="false">
      <c r="B7" s="6" t="s">
        <v>289</v>
      </c>
      <c r="C7" s="24" t="n">
        <f aca="false">'3 ขนาดบ่อ'!$E$35+'1 ข้อมูล'!$C$17</f>
        <v>0.92</v>
      </c>
      <c r="D7" s="6" t="s">
        <v>290</v>
      </c>
    </row>
    <row r="8" customFormat="false" ht="15" hidden="false" customHeight="false" outlineLevel="0" collapsed="false">
      <c r="B8" s="6" t="s">
        <v>291</v>
      </c>
      <c r="C8" s="24" t="n">
        <f aca="false">'3 ขนาดบ่อ'!$E$35</f>
        <v>0.9</v>
      </c>
      <c r="D8" s="6" t="s">
        <v>186</v>
      </c>
    </row>
    <row r="9" customFormat="false" ht="15" hidden="false" customHeight="false" outlineLevel="0" collapsed="false">
      <c r="B9" s="6" t="s">
        <v>292</v>
      </c>
      <c r="C9" s="24" t="n">
        <f aca="false">'3 ขนาดบ่อ'!$E$56</f>
        <v>1</v>
      </c>
      <c r="D9" s="6" t="s">
        <v>223</v>
      </c>
    </row>
    <row r="10" customFormat="false" ht="15" hidden="false" customHeight="false" outlineLevel="0" collapsed="false">
      <c r="B10" s="6" t="s">
        <v>293</v>
      </c>
      <c r="C10" s="24" t="n">
        <f aca="false">'3 ขนาดบ่อ'!$E$8+'3 ขนาดบ่อ'!$E$10</f>
        <v>0.9</v>
      </c>
      <c r="D10" s="6" t="s">
        <v>294</v>
      </c>
    </row>
    <row r="11" customFormat="false" ht="15" hidden="false" customHeight="false" outlineLevel="0" collapsed="false">
      <c r="B11" s="6" t="s">
        <v>295</v>
      </c>
      <c r="C11" s="24" t="n">
        <f aca="false">'3 ขนาดบ่อ'!$E$28</f>
        <v>0.809665688762588</v>
      </c>
      <c r="D11" s="6" t="s">
        <v>296</v>
      </c>
    </row>
    <row r="12" customFormat="false" ht="15" hidden="false" customHeight="false" outlineLevel="0" collapsed="false">
      <c r="B12" s="6" t="s">
        <v>297</v>
      </c>
      <c r="C12" s="24" t="n">
        <f aca="false">'3 ขนาดบ่อ'!$E$8</f>
        <v>0.6</v>
      </c>
      <c r="D12" s="6" t="s">
        <v>298</v>
      </c>
    </row>
    <row r="13" customFormat="false" ht="15" hidden="false" customHeight="false" outlineLevel="0" collapsed="false">
      <c r="B13" s="6" t="s">
        <v>299</v>
      </c>
      <c r="C13" s="24" t="n">
        <f aca="false">'3 ขนาดบ่อ'!$E$53</f>
        <v>0.5</v>
      </c>
      <c r="D13" s="6" t="s">
        <v>215</v>
      </c>
    </row>
    <row r="14" customFormat="false" ht="15" hidden="false" customHeight="false" outlineLevel="0" collapsed="false">
      <c r="B14" s="6" t="s">
        <v>300</v>
      </c>
      <c r="C14" s="24" t="n">
        <f aca="false">'3 ขนาดบ่อ'!$E$55</f>
        <v>0.4</v>
      </c>
      <c r="D14" s="6" t="s">
        <v>301</v>
      </c>
    </row>
    <row r="15" customFormat="false" ht="15" hidden="false" customHeight="false" outlineLevel="0" collapsed="false">
      <c r="B15" s="6" t="s">
        <v>302</v>
      </c>
      <c r="C15" s="24" t="n">
        <f aca="false">'3 ขนาดบ่อ'!$E$41</f>
        <v>0.3</v>
      </c>
      <c r="D15" s="6" t="s">
        <v>303</v>
      </c>
    </row>
    <row r="16" customFormat="false" ht="15" hidden="false" customHeight="false" outlineLevel="0" collapsed="false">
      <c r="B16" s="6" t="s">
        <v>304</v>
      </c>
      <c r="C16" s="24" t="n">
        <f aca="false">'3 ขนาดบ่อ'!$E$20</f>
        <v>0.210686269183871</v>
      </c>
      <c r="D16" s="6" t="s">
        <v>305</v>
      </c>
    </row>
    <row r="17" customFormat="false" ht="15" hidden="false" customHeight="false" outlineLevel="0" collapsed="false">
      <c r="B17" s="6" t="s">
        <v>306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307</v>
      </c>
    </row>
    <row r="2" customFormat="false" ht="15" hidden="false" customHeight="false" outlineLevel="0" collapsed="false">
      <c r="B2" s="2" t="s">
        <v>308</v>
      </c>
    </row>
    <row r="4" customFormat="false" ht="45" hidden="false" customHeight="true" outlineLevel="0" collapsed="false">
      <c r="B4" s="3" t="s">
        <v>309</v>
      </c>
      <c r="C4" s="3" t="s">
        <v>310</v>
      </c>
      <c r="D4" s="3" t="s">
        <v>311</v>
      </c>
      <c r="E4" s="3" t="s">
        <v>312</v>
      </c>
      <c r="F4" s="3" t="s">
        <v>313</v>
      </c>
      <c r="G4" s="3" t="s">
        <v>314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ข้อมูล'!$C$44)^2.5*3600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ข้อมูล'!$C$44)^2.5*3600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ข้อมูล'!$C$44)^2.5*3600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ข้อมูล'!$C$44)^2.5*3600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ข้อมูล'!$C$44)^2.5*3600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ข้อมูล'!$C$44)^2.5*3600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ข้อมูล'!$C$44)^2.5*3600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ข้อมูล'!$C$44)^2.5*3600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ข้อมูล'!$C$44)^2.5*3600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ข้อมูล'!$C$44)^2.5*3600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ข้อมูล'!$C$44)^2.5*3600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ข้อมูล'!$C$44)^2.5*3600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ข้อมูล'!$C$44)^2.5*3600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ข้อมูล'!$C$44)^2.5*3600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ข้อมูล'!$C$44)^2.5*3600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ข้อมูล'!$C$44)^2.5*3600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ข้อมูล'!$C$44)^2.5*3600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ข้อมูล'!$C$44)^2.5*3600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ข้อมูล'!$C$44)^2.5*3600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ข้อมูล'!$C$44)^2.5*3600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ข้อมูล'!$C$44)^2.5*3600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2026-10-30T08:47:14Z</dcterms:created>
  <dc:creator>openpyxl</dc:creator>
  <dc:description/>
  <dc:language>en-US</dc:language>
  <cp:lastModifiedBy/>
  <dcterms:modified xsi:type="dcterms:W3CDTF">2026-10-30T08:47:14Z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