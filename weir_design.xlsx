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  <sheet name="7 แบบพับ" sheetId="7" state="visible" r:id="rId9"/>
    <sheet name="8 เทียบวิธี มข." sheetId="8" state="visible" r:id="rId10"/>
    <sheet name="9 HRT ช่อง 1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<sst xmlns="http://schemas.openxmlformats.org/spreadsheetml/2006/main" count="855" uniqueCount="641">
  <si>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</si>
  <si>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</si>
  <si>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</si>
  <si>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</si>
  <si>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</si>
  <si>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</si>
  <si>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</si>
  <si>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</si>
  <si>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</si>
  <si>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</si>
  <si>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</si>
  <si>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</si>
  <si>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</si>
  <si>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</si>
  <si>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</si>
  <si>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Q ออกแบบเวียร์ (เดินระบบ 24 ชม.)</t>
  </si>
  <si>
    <t xml:space="preserve">≈ น้ำเฉลี่ย 62.8 + เผื่อ (ตกลงกับหัวหน้า) / 100 = ตรวจไม่ล้นร่อง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</si>
  <si>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</si>
  <si>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</si>
  <si>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</si>
  <si>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</si>
  <si>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</si>
  <si>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</si>
  <si>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</si>
  <si>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</si>
  <si>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</si>
  <si>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</si>
  <si>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</si>
  <si>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</si>
  <si>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</si>
  <si>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</si>
  <si>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 2 (สันม่านน้ำ)</t>
  </si>
  <si>
    <t xml:space="preserve">สั้น ทำหน้าที่สันให้น้ำตกเป็นม่าน</t>
  </si>
  <si>
    <t xml:space="preserve">ระดับพื้นยก ช่อง 2 ที่เลือก</t>
  </si>
  <si>
    <t xml:space="preserve">สูงกว่าขั้นต่ำ ให้ม่านน้ำตกสูงขึ้น (ระดับน้ำช่อง 1 เท่าเดิม)</t>
  </si>
  <si>
    <t xml:space="preserve">ความกว้างบ่อขั้นต่ำที่เลือก</t>
  </si>
  <si>
    <t xml:space="preserve">ISO ขั้นต่ำ (ไม่เผื่อเพิ่ม ให้เกณฑ์เป็นตัวกำหนด)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</si>
  <si>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</si>
  <si>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</si>
  <si>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</si>
  <si>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</si>
  <si>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</si>
  <si>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ระดับ ศก.ท่อเข้า 6" (ท่อตรง ไม่หักลง)</t>
  </si>
  <si>
    <t xml:space="preserve">พุ่งตรงเข้าช่อง 1</t>
  </si>
  <si>
    <t xml:space="preserve">ขนาดภายในท่อเข้า 6"</t>
  </si>
  <si>
    <t xml:space="preserve">6" SCH40 ID 154 mm</t>
  </si>
  <si>
    <t xml:space="preserve">ตำแหน่งบัฟเฟอร์ช่อง 1 (ผิวหน้า จากผนังหัวบ่อ)</t>
  </si>
  <si>
    <t xml:space="preserve">ตามคอมเมนต์: ขยับออกจากท่อเข้า</t>
  </si>
  <si>
    <t xml:space="preserve">แรงดันน้ำที่ใช้ตรวจบัฟเฟอร์</t>
  </si>
  <si>
    <t xml:space="preserve">bar</t>
  </si>
  <si>
    <t xml:space="preserve">กรณีเผื่อสุด: แรงดันปั๊มมาเต็มหน้าท่อ</t>
  </si>
  <si>
    <t xml:space="preserve">กำลังอัดคอนกรีต fc'</t>
  </si>
  <si>
    <t xml:space="preserve">MPa</t>
  </si>
  <si>
    <t xml:space="preserve">เหล็กบัฟเฟอร์ DB10 ระยะ</t>
  </si>
  <si>
    <t xml:space="preserve">ชั้นเดียวกลางแผ่น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</si>
  <si>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</si>
  <si>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</si>
  <si>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</si>
  <si>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</si>
  <si>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</si>
  <si>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</si>
  <si>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สันล้นช่อง 3 สูงกว่าช่องลอดใต้</t>
  </si>
  <si>
    <t xml:space="preserve">บังคับให้น้ำที่ลอดใต้ต้องยกตัวขึ้น</t>
  </si>
  <si>
    <t xml:space="preserve">HRT ช่อง 1 ที่ต้องการ</t>
  </si>
  <si>
    <t xml:space="preserve">นาที</t>
  </si>
  <si>
    <t xml:space="preserve">หัวหน้ากำหนด (คิดที่น้ำเข้าเฉลี่ย 62.8)</t>
  </si>
  <si>
    <t xml:space="preserve">ระดับพื้นช่อง 1</t>
  </si>
  <si>
    <t xml:space="preserve">แบบ ข (ช่อง 1 สั้น กว้าง ลึก)</t>
  </si>
  <si>
    <t xml:space="preserve">ความกว้างภายในช่อง 1</t>
  </si>
  <si>
    <t xml:space="preserve">แบบ ข</t>
  </si>
  <si>
    <t xml:space="preserve">ปริมาตรปั๊มจุ่ม (หักออก)</t>
  </si>
  <si>
    <t xml:space="preserve">m³</t>
  </si>
  <si>
    <t xml:space="preserve">ปั๊ม 0.40 × 0.40 × 0.55</t>
  </si>
  <si>
    <t xml:space="preserve">ผนังลอดใต้ / สันล้น ช่อง 3 หนา (คสล.)</t>
  </si>
  <si>
    <t xml:space="preserve">หล่อพร้อมบ่อ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</si>
  <si>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</si>
  <si>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</si>
  <si>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</si>
  <si>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</si>
  <si>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</si>
  <si>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</si>
  <si>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</si>
  <si>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</si>
  <si>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</si>
  <si>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</si>
  <si>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</si>
  <si>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</si>
  <si>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</si>
  <si>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BOD probe: ระยะจากต้นช่วงตรง</t>
  </si>
  <si>
    <t xml:space="preserve">ช่วงต้นของช่วงตรง พ้นโซนฟอง</t>
  </si>
  <si>
    <t xml:space="preserve">BOD probe: ระยะจากผนังข้าง</t>
  </si>
  <si>
    <t xml:space="preserve">ชิดผนัง ไม่ขวางกลางร่องน้ำ</t>
  </si>
  <si>
    <t xml:space="preserve">BOD probe: จมน้ำขั้นต่ำ</t>
  </si>
  <si>
    <t xml:space="preserve">ยืนยันกับผู้ขาย WTW</t>
  </si>
  <si>
    <t xml:space="preserve">BOD probe: สูงจากพื้นขั้นต่ำ</t>
  </si>
  <si>
    <t xml:space="preserve">พ้นตะกอนที่พื้น</t>
  </si>
  <si>
    <t xml:space="preserve">Flow meter (DL10): ระดับหน้าเซนเซอร์</t>
  </si>
  <si>
    <t xml:space="preserve">ติดคานพาดขวางเหนือจุดวัด H</t>
  </si>
  <si>
    <t xml:space="preserve">Flow meter (DL10): ระยะวัดต่ำสุด (blanking)</t>
  </si>
  <si>
    <t xml:space="preserve">Badger DL10: 50–1,250 mm</t>
  </si>
  <si>
    <t xml:space="preserve">Flow meter (DL10): ระยะวัดสูงสุด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</si>
  <si>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</si>
  <si>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</si>
  <si>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</si>
  <si>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</si>
  <si>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</si>
  <si>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</si>
  <si>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</si>
  <si>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</si>
  <si>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</si>
  <si>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</si>
  <si>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</si>
  <si>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</si>
  <si>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</si>
  <si>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</si>
  <si>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</si>
  <si>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</si>
  <si>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</si>
  <si>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</si>
  <si>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</si>
  <si>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</si>
  <si>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</si>
  <si>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</si>
  <si>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</si>
  <si>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</si>
  <si>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</si>
  <si>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</si>
  <si>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</si>
  <si>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</si>
  <si>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</si>
  <si>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</si>
  <si>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</si>
  <si>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</si>
  <si>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</si>
  <si>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</si>
  <si>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</si>
  <si>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</si>
  <si>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</si>
  <si>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</si>
  <si>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</si>
  <si>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</si>
  <si>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</si>
  <si>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</si>
  <si>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</si>
  <si>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</si>
  <si>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</si>
  <si>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</si>
  <si>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</si>
  <si>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</si>
  <si>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</si>
  <si>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</si>
  <si>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</si>
  <si>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Q ออกแบบ ปั๊มหยุด (เดิน 24 ชม.)</t>
  </si>
  <si>
    <t xml:space="preserve">← H ออกแบบ ใช้หาขนาดเวียร์</t>
  </si>
  <si>
    <t xml:space="preserve">น้ำเข้าสูงสุด ปั๊มหยุด</t>
  </si>
  <si>
    <t xml:space="preserve">← ตรวจไม่ล้นร่อง / น้ำสูงสุด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</si>
  <si>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</si>
  <si>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</si>
  <si>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</si>
  <si>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</si>
  <si>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</si>
  <si>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</si>
  <si>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</si>
  <si>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</si>
  <si>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</si>
  <si>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 ออกแบบ ที่ Q 65 m³/h)</t>
  </si>
  <si>
    <t xml:space="preserve">H ออกแบบ (น้ำเหนือยอด V)</t>
  </si>
  <si>
    <t xml:space="preserve">จากชีต 2 Q ออกแบบ</t>
  </si>
  <si>
    <t xml:space="preserve">Q = 65 m³/h เดินระบบ 24 ชม.</t>
  </si>
  <si>
    <t xml:space="preserve">Hmax (น้ำเข้า 100 m³/h)</t>
  </si>
  <si>
    <t xml:space="preserve">จากชีต 2 น้ำเข้าสูงสุด</t>
  </si>
  <si>
    <t xml:space="preserve">ใช้ตรวจไม่ล้นร่อง / ระดับน้ำสูงสุด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</si>
  <si>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</si>
  <si>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</si>
  <si>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</si>
  <si>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ความลึกร่อง V</t>
  </si>
  <si>
    <t xml:space="preserve">H + 0.08 (ปัดขึ้นทีละ 0.01 — ตัดเลเซอร์)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</si>
  <si>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</si>
  <si>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</si>
  <si>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</si>
  <si>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</si>
  <si>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b ระยะขอบร่อง V ถึงผนัง (ข้างละ)</t>
  </si>
  <si>
    <t xml:space="preserve">≥ 2 × H (เกณฑ์ USBR / เอกสาร มข.)</t>
  </si>
  <si>
    <t xml:space="preserve">น้ำเข้าร่องไม่ถูกผนังข้างบีบ</t>
  </si>
  <si>
    <t xml:space="preserve">B ตามเกณฑ์</t>
  </si>
  <si>
    <t xml:space="preserve">MAX(0.90, H ÷ 0.2, ปากร่อง + 2b)</t>
  </si>
  <si>
    <t xml:space="preserve">ISO: B ≥ 0.90 และ H/B ≤ 0.2 / USBR–มข.: b ≥ 2H ข้างละ</t>
  </si>
  <si>
    <t xml:space="preserve">B ความกว้างภายในบ่อ (ใช้)</t>
  </si>
  <si>
    <t xml:space="preserve">MAX(ตามเกณฑ์, ค่าที่เลือก)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</si>
  <si>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</si>
  <si>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</si>
  <si>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</si>
  <si>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</si>
  <si>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</si>
  <si>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</si>
  <si>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</si>
  <si>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</si>
  <si>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</si>
  <si>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</si>
  <si>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b จริง = (B − ปากร่อง) ÷ 2</t>
  </si>
  <si>
    <t xml:space="preserve">≥ 2H</t>
  </si>
  <si>
    <t xml:space="preserve">เกณฑ์ USBR / เอกสาร มข.</t>
  </si>
  <si>
    <t xml:space="preserve">น้ำเข้าสูงสุดที่ b ยังผ่าน</t>
  </si>
  <si>
    <t xml:space="preserve">1.38 × (b ÷ 2)^2.5 × 3600</t>
  </si>
  <si>
    <t xml:space="preserve">เกณฑ์ b ≥ 2H ผ่านถึง Q นี้</t>
  </si>
  <si>
    <t xml:space="preserve">ตรวจ: จุดวัด ÷ H</t>
  </si>
  <si>
    <t xml:space="preserve">4–5 เท่า</t>
  </si>
  <si>
    <t xml:space="preserve">ตรวจ: น้ำ 100 m³/h ไม่ล้นขอบร่อง V</t>
  </si>
  <si>
    <t xml:space="preserve">ลึกร่อง − Hmax ≥ 0</t>
  </si>
  <si>
    <t xml:space="preserve">ล้นเมื่อไร Flow meter อ่านผิดมาก</t>
  </si>
  <si>
    <t xml:space="preserve">ข้อมูล: H/P ที่น้ำ 100 m³/h</t>
  </si>
  <si>
    <t xml:space="preserve">Hmax ÷ P (ISO ≤ 0.4)</t>
  </si>
  <si>
    <t xml:space="preserve">เกิน 0.4 เล็กน้อย = แม่นน้อยลงช่วงน้ำ 100 (ยอมรับแล้ว)</t>
  </si>
  <si>
    <t xml:space="preserve">ข้อมูล: ช่วงตรงที่ต้องการถ้าน้ำ 100</t>
  </si>
  <si>
    <t xml:space="preserve">10 × Hmax</t>
  </si>
  <si>
    <t xml:space="preserve">ช่วงตรงที่ใช้สั้นกว่า → ค่าอ่านต่ำกว่าจริงไม่กี่ % ช่วงน้ำ 100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</si>
  <si>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</si>
  <si>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</si>
  <si>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</si>
  <si>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(น้ำท้ายต้องต่ำกว่ายอด V / ยอมให้ม่านน้ำชนผนังท้าย)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</si>
  <si>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</si>
  <si>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</si>
  <si>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</si>
  <si>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</si>
  <si>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</si>
  <si>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 (Q ออกแบบ)</t>
  </si>
  <si>
    <t xml:space="preserve">√(2 g H)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</si>
  <si>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</si>
  <si>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</si>
  <si>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</si>
  <si>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</si>
  <si>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</si>
  <si>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</si>
  <si>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ระยะทำงานขั้นต่ำ (ตกลงแล้ว)</t>
  </si>
  <si>
    <t xml:space="preserve">สั้นกว่าม่านน้ำพุ่ง → ม่านน้ำชนผนังท้าย ไม่กระทบค่าที่วัด</t>
  </si>
  <si>
    <t xml:space="preserve">ม่านน้ำชนผนังท้ายที่ระดับ</t>
  </si>
  <si>
    <t xml:space="preserve">P + H − g/2 × (Ld ÷ v)²</t>
  </si>
  <si>
    <t xml:space="preserve">ตรวจ: จุดชนสูงกว่าน้ำท้าย (ใต้ม่านน้ำมีอากาศ)</t>
  </si>
  <si>
    <t xml:space="preserve">ม่านน้ำ V แคบ อากาศเข้าทางข้างได้</t>
  </si>
  <si>
    <t xml:space="preserve">ค. โซนรับน้ำตก + ผนังลอดใต้ + สันล้น ช่อง 3 (คสล. หนา 0.10)</t>
  </si>
  <si>
    <t xml:space="preserve">ความลึกน้ำช่อง 3 สูงสุด</t>
  </si>
  <si>
    <t xml:space="preserve">P + Hmax</t>
  </si>
  <si>
    <t xml:space="preserve">ที่น้ำ 100 m³/h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</si>
  <si>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</si>
  <si>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</si>
  <si>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</si>
  <si>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</si>
  <si>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</si>
  <si>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</si>
  <si>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ฟองลอยขึ้นผิวน้ำก่อนเข้าช่วงตรง</t>
  </si>
  <si>
    <t xml:space="preserve">① ช่องลอดใต้ผนัง</t>
  </si>
  <si>
    <t xml:space="preserve">Q ออกแบบ ÷ (B × v ไม่เกิน 0.10)</t>
  </si>
  <si>
    <t xml:space="preserve">ขอบล่างผนังลอดใต้ / ขอบบนเสมอสันกำแพง</t>
  </si>
  <si>
    <t xml:space="preserve">ระยะ ① ถึง ② (สันล้น)</t>
  </si>
  <si>
    <t xml:space="preserve">เท่าช่องลอด</t>
  </si>
  <si>
    <t xml:space="preserve">② ความสูงสันล้น</t>
  </si>
  <si>
    <t xml:space="preserve">ช่องลอด + 0.10</t>
  </si>
  <si>
    <t xml:space="preserve">สันล้น = ต้นช่วงตรง</t>
  </si>
  <si>
    <t xml:space="preserve">ระยะรับน้ำตก ก่อนถึง ①</t>
  </si>
  <si>
    <t xml:space="preserve">โซนรับน้ำตก − ระยะ ①–②</t>
  </si>
  <si>
    <t xml:space="preserve">ตำแหน่ง ① วัดจากสันปลายช่อง 2</t>
  </si>
  <si>
    <t xml:space="preserve">ตรวจ: ระยะรับน้ำตก ≥ ระยะฟองลอย</t>
  </si>
  <si>
    <t xml:space="preserve">ฟองลอยขึ้นก่อนถึงผนังลอดใต้</t>
  </si>
  <si>
    <t xml:space="preserve">ความเร็วข้ามสันล้น (น้ำ 100)</t>
  </si>
  <si>
    <t xml:space="preserve">Q ÷ (B × (น้ำช่อง 3 − สันล้น))</t>
  </si>
  <si>
    <t xml:space="preserve">ตรวจ: ความเร็วข้ามสันล้น ≤ 0.10</t>
  </si>
  <si>
    <t xml:space="preserve">ตรวจ: น้ำเหนือสันล้น ที่น้ำเข้าต่ำสุด</t>
  </si>
  <si>
    <t xml:space="preserve">≥ 0.10 m</t>
  </si>
  <si>
    <t xml:space="preserve">ง. ช่อง 2 สันม่านน้ำ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</si>
  <si>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</si>
  <si>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</si>
  <si>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</si>
  <si>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</si>
  <si>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MAX(น้ำช่อง 3 + 0.10 − สันปลาย, ค่าที่เลือก)</t>
  </si>
  <si>
    <t xml:space="preserve">ความยาวช่อง 2 ที่ใช้</t>
  </si>
  <si>
    <t xml:space="preserve">ค่าที่เลือก (ชีต 1)</t>
  </si>
  <si>
    <t xml:space="preserve">สันม่านน้ำ (ไม่ต้องยาวเพื่อโชว์ชั้นน้ำแล้ว)</t>
  </si>
  <si>
    <t xml:space="preserve">ม่านน้ำช่อง 2 ตกสูง (Q ออกแบบ)</t>
  </si>
  <si>
    <t xml:space="preserve">สันปลาย − น้ำช่อง 3</t>
  </si>
  <si>
    <t xml:space="preserve">ยิ่งสูง ม่านน้ำยิ่งเห็นชัด</t>
  </si>
  <si>
    <t xml:space="preserve">ตรวจ: ม่านน้ำตกอิสระที่น้ำ 100</t>
  </si>
  <si>
    <t xml:space="preserve">สันปลาย − น้ำช่อง 3 สูงสุด ≥ 0.10</t>
  </si>
  <si>
    <t xml:space="preserve">จ. ช่อง 1 รับน้ำ + ปั๊มจุ่ม</t>
  </si>
  <si>
    <t xml:space="preserve">ช่องลอดใต้ผนังกั้น ช่อง 1</t>
  </si>
  <si>
    <t xml:space="preserve">MAX(0.30, Q ÷ (กว้างช่อง 1 × 0.10))</t>
  </si>
  <si>
    <t xml:space="preserve">ขั้นต่ำ 0.30 กันตะกอนอุด</t>
  </si>
  <si>
    <t xml:space="preserve">ความเร็วน้ำออกท่อเข้า (น้ำ 100)</t>
  </si>
  <si>
    <t xml:space="preserve">Q ÷ (π D² ÷ 4)</t>
  </si>
  <si>
    <t xml:space="preserve">น้ำพุ่งไกล ตอนน้ำลดถึงปั๊ม STOP</t>
  </si>
  <si>
    <t xml:space="preserve">v × √(2 (ท่อเข้า − STOP) ÷ g)</t>
  </si>
  <si>
    <t xml:space="preserve">ตอนเริ่มเดินระบบหลังปั๊มหยุด</t>
  </si>
  <si>
    <t xml:space="preserve">ข้อมูล: น้ำพุ่งไกล ตอนบ่อแห้งถึงพื้น</t>
  </si>
  <si>
    <t xml:space="preserve">v × √(2 (ท่อเข้า − พื้น) ÷ g)</t>
  </si>
  <si>
    <t xml:space="preserve">กรณีล้างบ่อ (บัฟเฟอร์รับแรงได้ ดูหมวด จ2)</t>
  </si>
  <si>
    <t xml:space="preserve">โซนน้ำเข้า (ตำแหน่งบัฟเฟอร์)</t>
  </si>
  <si>
    <t xml:space="preserve">MAX(น้ำพุ่งไกลที่ STOP, ค่าที่เลือก)</t>
  </si>
  <si>
    <t xml:space="preserve">ปกติน้ำพุ่ง 0.2–0.3 m แล้วจมน้ำ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</si>
  <si>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</si>
  <si>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</si>
  <si>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</si>
  <si>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</si>
  <si>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ช่อง 1 ยาวขั้นต่ำตามปั๊ม/ท่อ</t>
  </si>
  <si>
    <t xml:space="preserve">โซนน้ำเข้า + ผนังกั้น + โซนปั๊ม</t>
  </si>
  <si>
    <t xml:space="preserve">ชั้นน้ำช่อง 2 ที่น้ำเข้าเฉลี่ย</t>
  </si>
  <si>
    <t xml:space="preserve">สันปลาย + (Q ÷ 1.84B)^(2/3)</t>
  </si>
  <si>
    <t xml:space="preserve">Q = Qavg − recycle</t>
  </si>
  <si>
    <t xml:space="preserve">ระดับน้ำช่อง 1 ที่น้ำเข้าเฉลี่ย</t>
  </si>
  <si>
    <t xml:space="preserve">พื้นยก + ชั้นน้ำ + 1.5 v² ÷ 2g</t>
  </si>
  <si>
    <t xml:space="preserve">ปริมาตรน้ำช่อง 1 ที่ต้องการ</t>
  </si>
  <si>
    <t xml:space="preserve">Qavg × HRT + ปั๊ม</t>
  </si>
  <si>
    <t xml:space="preserve">ช่อง 1 ยาวขั้นต่ำตาม HRT</t>
  </si>
  <si>
    <t xml:space="preserve">ปริมาตร ÷ (กว้าง × (น้ำ − พื้น))</t>
  </si>
  <si>
    <t xml:space="preserve">ความยาวช่อง 1 (ใช้)</t>
  </si>
  <si>
    <t xml:space="preserve">MAX(ตามปั๊ม, ตาม HRT)</t>
  </si>
  <si>
    <t xml:space="preserve">ศก.ปั๊ม (จากผนังหัวบ่อ)</t>
  </si>
  <si>
    <t xml:space="preserve">บัฟเฟอร์ + หนา + ระยะห่าง + ฐาน ÷ 2</t>
  </si>
  <si>
    <t xml:space="preserve">HRT ช่อง 1 ที่ได้</t>
  </si>
  <si>
    <t xml:space="preserve">(ยาว × กว้าง × ลึก − ปั๊ม) ÷ Qavg</t>
  </si>
  <si>
    <t xml:space="preserve">ตรวจ: HRT ช่อง 1 ≥ ที่กำหนด</t>
  </si>
  <si>
    <t xml:space="preserve">HRT ช่อง 1 ที่น้ำเข้าสูงสุด</t>
  </si>
  <si>
    <t xml:space="preserve">ข้อมูลประกอบ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</si>
  <si>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</si>
  <si>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</si>
  <si>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</si>
  <si>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รวมการสูญเสียตอนน้ำขึ้นขั้น</t>
  </si>
  <si>
    <t xml:space="preserve">จ2. บัฟเฟอร์ช่อง 1 รับน้ำ 100 m³/h แรงดัน 3 บาร์ (คสล. หนา 0.10)</t>
  </si>
  <si>
    <t xml:space="preserve">แรงน้ำกระแทก (เผื่อสุด)</t>
  </si>
  <si>
    <t xml:space="preserve">แรงดัน × พื้นที่ท่อ</t>
  </si>
  <si>
    <t xml:space="preserve">kN</t>
  </si>
  <si>
    <t xml:space="preserve">แรงจริง ρQv ≈ 0.04 kN</t>
  </si>
  <si>
    <t xml:space="preserve">แรงประลัย</t>
  </si>
  <si>
    <t xml:space="preserve">× 1.7</t>
  </si>
  <si>
    <t xml:space="preserve">โมเมนต์ประลัย (แรงจุดกลางช่วง)</t>
  </si>
  <si>
    <t xml:space="preserve">Fu × กว้างช่อง 1 ÷ 4</t>
  </si>
  <si>
    <t xml:space="preserve">kN·m</t>
  </si>
  <si>
    <t xml:space="preserve">ยึดผนังข้าง 2 ด้าน คิดกว้างรับแรง 1 m</t>
  </si>
  <si>
    <t xml:space="preserve">ความลึกประสิทธิผล d</t>
  </si>
  <si>
    <t xml:space="preserve">หนา ÷ 2 (เหล็กชั้นเดียวกลางแผ่น)</t>
  </si>
  <si>
    <t xml:space="preserve">เหล็กที่ใช้ DB10</t>
  </si>
  <si>
    <t xml:space="preserve">78.5 ÷ ระยะ</t>
  </si>
  <si>
    <t xml:space="preserve">mm²/m</t>
  </si>
  <si>
    <t xml:space="preserve">ความลึกบล็อกแรงอัด a</t>
  </si>
  <si>
    <t xml:space="preserve">As fy ÷ (0.85 fc' × 1000)</t>
  </si>
  <si>
    <t xml:space="preserve">mm</t>
  </si>
  <si>
    <t xml:space="preserve">กำลังรับโมเมนต์ φMn</t>
  </si>
  <si>
    <t xml:space="preserve">0.9 As fy (d − a/2)</t>
  </si>
  <si>
    <t xml:space="preserve">ตรวจ: φMn ≥ Mu</t>
  </si>
  <si>
    <t xml:space="preserve">คสล. หนา 0.10 DB10 ชั้นเดียว รับได้</t>
  </si>
  <si>
    <t xml:space="preserve">กำลังรับแรงเฉือนทะลุ φVc</t>
  </si>
  <si>
    <t xml:space="preserve">0.75 × 0.33√fc' × b0 × d</t>
  </si>
  <si>
    <t xml:space="preserve">b0 = รอบพื้นที่น้ำกระแทก</t>
  </si>
  <si>
    <t xml:space="preserve">ตรวจ: φVc ≥ Fu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</si>
  <si>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</si>
  <si>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</si>
  <si>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</si>
  <si>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</si>
  <si>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</si>
  <si>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</si>
  <si>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</si>
  <si>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</si>
  <si>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</si>
  <si>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</si>
  <si>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</si>
  <si>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</si>
  <si>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</si>
  <si>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</si>
  <si>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</si>
  <si>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</si>
  <si>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</si>
  <si>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</si>
  <si>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</si>
  <si>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</si>
  <si>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</si>
  <si>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</si>
  <si>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</si>
  <si>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</si>
  <si>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</si>
  <si>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</si>
  <si>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</si>
  <si>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</si>
  <si>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</si>
  <si>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</si>
  <si>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</si>
  <si>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</si>
  <si>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</si>
  <si>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</si>
  <si>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</si>
  <si>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</si>
  <si>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</si>
  <si>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</si>
  <si>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</si>
  <si>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</si>
  <si>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</si>
  <si>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</si>
  <si>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</si>
  <si>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</si>
  <si>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ผนังช่อง 1 สูง (จากพื้นช่อง 1)</t>
  </si>
  <si>
    <t xml:space="preserve">สันกำแพง − พื้นช่อง 1</t>
  </si>
  <si>
    <t xml:space="preserve">โมเมนต์ประลัยโคนผนังช่อง 1</t>
  </si>
  <si>
    <t xml:space="preserve">1.7 × γw × สูง³ ÷ 6</t>
  </si>
  <si>
    <t xml:space="preserve">เหล็กเสริมที่ต้องการ ผนังช่อง 1</t>
  </si>
  <si>
    <t xml:space="preserve">ระยะเหล็ก DB12 ผนังช่อง 1</t>
  </si>
  <si>
    <t xml:space="preserve">ยังไม่รวมแรงดันดินด้านนอก</t>
  </si>
  <si>
    <t xml:space="preserve">ตรวจ: ระยะเหล็กผนังช่อง 1 ≥ 100 mm</t>
  </si>
  <si>
    <t xml:space="preserve">วิศวกรโยธาต้องตรวจรวมแรงดันดิน</t>
  </si>
  <si>
    <t xml:space="preserve">ฌ. ตำแหน่งเซนเซอร์ (ช่อง 3)</t>
  </si>
  <si>
    <t xml:space="preserve">BOD probe: ระดับปลาย probe</t>
  </si>
  <si>
    <t xml:space="preserve">กลางระหว่าง (พื้น + 0.20) กับ (ยอด V − จมขั้นต่ำ)</t>
  </si>
  <si>
    <t xml:space="preserve">ปัดเป็นทวีคูณ 0.05</t>
  </si>
  <si>
    <t xml:space="preserve">ตรวจ: probe จมน้ำเมื่อน้ำหยุดไหล (ยอด V − ปลาย)</t>
  </si>
  <si>
    <t xml:space="preserve">≥ จมขั้นต่ำ</t>
  </si>
  <si>
    <t xml:space="preserve">น้ำในช่อง 3 ค้างที่ยอด V เสมอ</t>
  </si>
  <si>
    <t xml:space="preserve">ตรวจ: probe สูงจากพื้น</t>
  </si>
  <si>
    <t xml:space="preserve">≥ 0.20</t>
  </si>
  <si>
    <t xml:space="preserve">BOD probe: ระยะถึงแผ่นเวียร์</t>
  </si>
  <si>
    <t xml:space="preserve">ช่วงตรง − ระยะจากต้นช่วงตรง</t>
  </si>
  <si>
    <t xml:space="preserve">ตรวจ: probe อยู่เหนือน้ำของจุดวัด H</t>
  </si>
  <si>
    <t xml:space="preserve">ห่างจุดวัด ≥ 0.5 m</t>
  </si>
  <si>
    <t xml:space="preserve">ไม่รบกวนผิวน้ำที่จุดวัด</t>
  </si>
  <si>
    <t xml:space="preserve">Flow meter (DL10): ระยะถึงผิวน้ำ ตอนน้ำสูงสุด</t>
  </si>
  <si>
    <t xml:space="preserve">หน้าเซนเซอร์ − (P + Hmax)</t>
  </si>
  <si>
    <t xml:space="preserve">Flow meter (DL10): ระยะถึงผิวน้ำ ตอนน้ำหยุดไหล</t>
  </si>
  <si>
    <t xml:space="preserve">หน้าเซนเซอร์ − P</t>
  </si>
  <si>
    <t xml:space="preserve">ตรวจ: Flow meter อยู่ในช่วงวัด</t>
  </si>
  <si>
    <t xml:space="preserve">0.05–1.25 m</t>
  </si>
  <si>
    <t xml:space="preserve">ตรวจ: หน้าเซนเซอร์ต่ำกว่าสันกำแพง</t>
  </si>
  <si>
    <t xml:space="preserve">ติดคานบนสันกำแพงได้</t>
  </si>
  <si>
    <t xml:space="preserve">ญ. สรุปขนาดบ่อ</t>
  </si>
  <si>
    <t xml:space="preserve">ความยาวช่อง 3</t>
  </si>
  <si>
    <t xml:space="preserve">รับน้ำตก + ① + ห่าง + ②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</si>
  <si>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</si>
  <si>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</si>
  <si>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 ช่อง 2–3</t>
  </si>
  <si>
    <t xml:space="preserve">B</t>
  </si>
  <si>
    <t xml:space="preserve">ความกว้างภายใน ช่อง 1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</si>
  <si>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</si>
  <si>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</si>
  <si>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</si>
  <si>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</si>
  <si>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 ช่อง 2–3</t>
  </si>
  <si>
    <t xml:space="preserve">ความกว้างภายนอก ช่อง 1</t>
  </si>
  <si>
    <t xml:space="preserve">ความสูงภายนอก ช่อง 1</t>
  </si>
  <si>
    <t xml:space="preserve">สันกำแพง − พื้นช่อง 1 + พื้น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</si>
  <si>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</si>
  <si>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</si>
  <si>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</si>
  <si>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</si>
  <si>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</si>
  <si>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</si>
  <si>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</si>
  <si>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</si>
  <si>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</si>
  <si>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</si>
  <si>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</si>
  <si>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</si>
  <si>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</si>
  <si>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</si>
  <si>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</si>
  <si>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</si>
  <si>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</si>
  <si>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</si>
  <si>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ศก.ท่อเข้า 6"</t>
  </si>
  <si>
    <t xml:space="preserve">ท่อตรง ไม่หักลง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</si>
  <si>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</si>
  <si>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</si>
  <si>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</si>
  <si>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</si>
  <si>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</si>
  <si>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น้ำช่อง 3 + 0.10 − สันปลาย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</si>
  <si>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</si>
  <si>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</si>
  <si>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</si>
  <si>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</si>
  <si>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</si>
  <si>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</si>
  <si>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</si>
  <si>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</si>
  <si>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</si>
  <si>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</si>
  <si>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พื้นช่อง 1 + ช่องลอด</t>
  </si>
  <si>
    <t xml:space="preserve">น้ำท้ายเวียร์</t>
  </si>
  <si>
    <t xml:space="preserve">ท่อออก 8"</t>
  </si>
  <si>
    <t xml:space="preserve">ปั๊ม STOP ช่อง 1</t>
  </si>
  <si>
    <t xml:space="preserve">พื้นช่อง 1 + 0.60</t>
  </si>
  <si>
    <t xml:space="preserve">พื้นบ่อ ช่อง 2–3</t>
  </si>
  <si>
    <t xml:space="preserve">พื้นช่อง 1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</si>
  <si>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</si>
  <si>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</si>
  <si>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</si>
  <si>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</si>
  <si>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</si>
  <si>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</si>
  <si>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</si>
  <si>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</si>
  <si>
    <t xml:space="preserve">7) แบบพับบ่อเป็น 2 แถว (U / L) เทียบกับแบบตรง</t>
  </si>
  <si>
    <t xml:space="preserve">แถว 1: ช่อง 1 → ช่อง 2 (พื้นยก)  |  น้ำล้นข้ามสันด้านข้างลงแถว 2  |  แถว 2: รับน้ำตก → ช่วงตรง → เวียร์ → ท่อออก (ไหลย้อนกลับ)</t>
  </si>
  <si>
    <t xml:space="preserve">ก. ความยาวแต่ละแถว (ใช้ขนาดจากชีต 3)</t>
  </si>
  <si>
    <t xml:space="preserve">แถว 1: ช่อง 1</t>
  </si>
  <si>
    <t xml:space="preserve">แถว 1: ช่อง 2 (พื้นยก)</t>
  </si>
  <si>
    <t xml:space="preserve">ความยาวช่อง 2 = ความยาวสันข้าง</t>
  </si>
  <si>
    <t xml:space="preserve">น้ำไหลขวางบ่อ แล้วล้นสันลงแถว 2</t>
  </si>
  <si>
    <t xml:space="preserve">แถว 1: รวม</t>
  </si>
  <si>
    <t xml:space="preserve">ช่อง 1 + ช่อง 2</t>
  </si>
  <si>
    <t xml:space="preserve">แถว 2: โซนรับน้ำตก</t>
  </si>
  <si>
    <t xml:space="preserve">MAX(ความยาวสัน, โซนรับน้ำตกขั้นต่ำ)</t>
  </si>
  <si>
    <t xml:space="preserve">ม่านน้ำตกตลอดความยาวสัน</t>
  </si>
  <si>
    <t xml:space="preserve">แถว 2: รวม</t>
  </si>
  <si>
    <t xml:space="preserve">รับน้ำตก + ช่วงตรง + กำแพงเวียร์ + ท้ายเวียร์</t>
  </si>
  <si>
    <t xml:space="preserve">ความยาวภายในบ่อ</t>
  </si>
  <si>
    <t xml:space="preserve">MAX(แถว 1, แถว 2)</t>
  </si>
  <si>
    <t xml:space="preserve">พื้นที่ว่างท้ายแถว 1</t>
  </si>
  <si>
    <t xml:space="preserve">ความยาวภายใน − แถว 1</t>
  </si>
  <si>
    <t xml:space="preserve">แบบ L: ตัดส่วนนี้ทิ้ง / แบบ U: ใช้เป็นที่ตั้งตู้คอนโทรล</t>
  </si>
  <si>
    <t xml:space="preserve">ความกว้างภายใน</t>
  </si>
  <si>
    <t xml:space="preserve">B + ผนังกลาง + B</t>
  </si>
  <si>
    <t xml:space="preserve">ข. เทียบ 3 แบบ (ขนาดภายนอก)</t>
  </si>
  <si>
    <t xml:space="preserve">แบบตรง (ปัจจุบัน)</t>
  </si>
  <si>
    <t xml:space="preserve">แบบ U (สี่เหลี่ยม)</t>
  </si>
  <si>
    <t xml:space="preserve">แบบ L (ตัดมุมว่าง)</t>
  </si>
  <si>
    <t xml:space="preserve">ยาว (m)</t>
  </si>
  <si>
    <t xml:space="preserve">กว้าง (m)</t>
  </si>
  <si>
    <t xml:space="preserve">พื้นที่ฐาน (m²)</t>
  </si>
  <si>
    <t xml:space="preserve">ผนังรอบนอก (m³)</t>
  </si>
  <si>
    <t xml:space="preserve">ผนังกลาง (m³)</t>
  </si>
  <si>
    <t xml:space="preserve">พื้น (m³)</t>
  </si>
  <si>
    <t xml:space="preserve">คอนกรีตรวม (m³) โดยประมาณ</t>
  </si>
  <si>
    <t xml:space="preserve">ไม่รวมพื้นยก กำแพงเวียร์ ผนังกั้น (เท่ากันทุกแบบ)</t>
  </si>
  <si>
    <t xml:space="preserve">ยาวลดลงจากแบบตรง</t>
  </si>
  <si>
    <t xml:space="preserve">ค. ได้อะไร / เสียอะไร</t>
  </si>
  <si>
    <t xml:space="preserve">✔ สั้นลง</t>
  </si>
  <si>
    <t xml:space="preserve">บ่อยาวลดลงประมาณ 30% วางในพื้นที่จำกัดได้ง่าย</t>
  </si>
  <si>
    <t xml:space="preserve">✔ ท่อเข้า–ออกอยู่ด้านเดียวกัน</t>
  </si>
  <si>
    <t xml:space="preserve">ท่อเข้า 6" (แถว 1) และท่อออก 8" (แถว 2) อยู่ฝั่งเดียวกัน เดินท่อสั้นลง</t>
  </si>
  <si>
    <t xml:space="preserve">✔ จุดโชว์รวมกัน</t>
  </si>
  <si>
    <t xml:space="preserve">ช่อง 2 (น้ำใส) อยู่ติด BOD probe และ Flow meter ยืนดูจุดเดียวเห็นครบ</t>
  </si>
  <si>
    <t xml:space="preserve">✔ คอนกรีตแบบ L ใกล้เคียงแบบตรง</t>
  </si>
  <si>
    <t xml:space="preserve">แบบ U ใช้คอนกรีตมากกว่า เพราะมีมุมว่าง</t>
  </si>
  <si>
    <t xml:space="preserve">✘ น้ำต้องเลี้ยว 2 ครั้ง</t>
  </si>
  <si>
    <t xml:space="preserve">บนพื้นยก (เลี้ยว 90°) และตอนตกลงแถว 2 (ไหลจากด้านข้างแล้วเลี้ยวไปตามแถว)</t>
  </si>
  <si>
    <t xml:space="preserve">✘ ผิวน้ำช่อง 2 อาจไม่เรียบเท่าแบบตรง</t>
  </si>
  <si>
    <t xml:space="preserve">น้ำขึ้นพื้นยกจากด้านหนึ่ง แล้วไหลออกอีกด้าน มุมพื้นยกจะมีน้ำนิ่งหรือวน</t>
  </si>
  <si>
    <t xml:space="preserve">✘ ความเสี่ยงค่า Flow แกว่ง</t>
  </si>
  <si>
    <t xml:space="preserve">น้ำเข้าแถว 2 จากด้านข้าง กระแสช่วงต้นไม่สม่ำเสมอ ช่วงตรงหน้าเวียร์ช่วยได้ ถ้ายังแกว่งให้ใส่ผนังลอดใต้ต้นช่วงตรง</t>
  </si>
  <si>
    <t xml:space="preserve">✘ แบบหล่อซับซ้อนขึ้น</t>
  </si>
  <si>
    <t xml:space="preserve">มีผนังกลางและมุมเพิ่ม ค่าแรงไม้แบบเพิ่ม</t>
  </si>
  <si>
    <t xml:space="preserve">8) ออกแบบตามวิธีในเอกสาร มข. (EN614102 Ex 3.9) เทียบกับแบบของเรา</t>
  </si>
  <si>
    <t xml:space="preserve">สมการ USBR: Q = 1.36 H^2.48  |  เกณฑ์: P ≥ 2Hmax, b ≥ 2Hmax (b = ระยะจากขอบบนร่อง V ถึงผนัง), จุดวัด 3–5 Hmax</t>
  </si>
  <si>
    <t xml:space="preserve">No.</t>
  </si>
  <si>
    <t xml:space="preserve">Parameters</t>
  </si>
  <si>
    <t xml:space="preserve">Symbol</t>
  </si>
  <si>
    <t xml:space="preserve">Unit</t>
  </si>
  <si>
    <t xml:space="preserve">Value (วิธี มข.)</t>
  </si>
  <si>
    <t xml:space="preserve">Remark (ตามเอกสาร)</t>
  </si>
  <si>
    <t xml:space="preserve">แบบของเรา (ชีต 3)</t>
  </si>
  <si>
    <t xml:space="preserve">แบบเราผ่านเกณฑ์ มข.?</t>
  </si>
  <si>
    <t xml:space="preserve">1</t>
  </si>
  <si>
    <t xml:space="preserve">Average flow rate</t>
  </si>
  <si>
    <t xml:space="preserve">Qavg</t>
  </si>
  <si>
    <t xml:space="preserve">m³/s</t>
  </si>
  <si>
    <t xml:space="preserve">1,507 m³/วัน ÷ 24 ÷ 3600</t>
  </si>
  <si>
    <t xml:space="preserve">2</t>
  </si>
  <si>
    <t xml:space="preserve">Peak flow rate</t>
  </si>
  <si>
    <t xml:space="preserve">Qpeak</t>
  </si>
  <si>
    <t xml:space="preserve">*Calculated from 1.5 of average</t>
  </si>
  <si>
    <t xml:space="preserve">2a</t>
  </si>
  <si>
    <t xml:space="preserve">Design flow (เดิน 24 ชม.)</t>
  </si>
  <si>
    <t xml:space="preserve">Qd</t>
  </si>
  <si>
    <t xml:space="preserve">65 m³/h ตามที่ตกลง (แทน Qpeak)</t>
  </si>
  <si>
    <t xml:space="preserve">3</t>
  </si>
  <si>
    <t xml:space="preserve">Number of Weir Channel</t>
  </si>
  <si>
    <t xml:space="preserve">n</t>
  </si>
  <si>
    <t xml:space="preserve">*Design</t>
  </si>
  <si>
    <t xml:space="preserve">4</t>
  </si>
  <si>
    <t xml:space="preserve">Flow rate at Hmax of each weir</t>
  </si>
  <si>
    <t xml:space="preserve">QHmax</t>
  </si>
  <si>
    <t xml:space="preserve">*ใช้ Q ออกแบบ 65 m³/h / n</t>
  </si>
  <si>
    <t xml:space="preserve">5</t>
  </si>
  <si>
    <t xml:space="preserve">b</t>
  </si>
  <si>
    <t xml:space="preserve">*Calculate from Hmax*2*1.1</t>
  </si>
  <si>
    <t xml:space="preserve">6</t>
  </si>
  <si>
    <t xml:space="preserve">*Calculate from Hmax*2</t>
  </si>
  <si>
    <t xml:space="preserve">7</t>
  </si>
  <si>
    <t xml:space="preserve">Hmax</t>
  </si>
  <si>
    <t xml:space="preserve">*Calculated from Q=1.36Hmax^2.48</t>
  </si>
  <si>
    <t xml:space="preserve">เราใช้สูตรกรมฯ 1.38H^2.5</t>
  </si>
  <si>
    <t xml:space="preserve">8</t>
  </si>
  <si>
    <t xml:space="preserve">P/2</t>
  </si>
  <si>
    <t xml:space="preserve">9</t>
  </si>
  <si>
    <t xml:space="preserve">b/2</t>
  </si>
  <si>
    <t xml:space="preserve">10</t>
  </si>
  <si>
    <t xml:space="preserve">Point of measurement H</t>
  </si>
  <si>
    <t xml:space="preserve">*Calculate from Hmax*3 (เอกสารยอมให้ 3–5 Hmax)</t>
  </si>
  <si>
    <t xml:space="preserve">11</t>
  </si>
  <si>
    <t xml:space="preserve">H of V-Notch</t>
  </si>
  <si>
    <t xml:space="preserve">*Calculate from Hmax*1.2</t>
  </si>
  <si>
    <t xml:space="preserve">12</t>
  </si>
  <si>
    <t xml:space="preserve">*Calculate from b*2+[2*H of V Notch]/tan45</t>
  </si>
  <si>
    <t xml:space="preserve">• สไลด์ตัวอย่าง (Q = 0.75 m³/s) ได้ B = 4.63 เพราะ Excel ใช้ TAN(45) ซึ่งตีความ 45 เป็นเรเดียน (tan = 1.62) — ค่าที่ถูกคือ TAN(RADIANS(45)) = 1 → B = 5.34</t>
  </si>
  <si>
    <t xml:space="preserve">• b ในเอกสาร = ระยะจากขอบบนร่อง V ถึงผนังข้างละด้าน (เกณฑ์ USBR: ≥ 2Hmax) — แบบของเราผ่านทั้ง ISO และเกณฑ์นี้ที่ Q ออกแบบ</t>
  </si>
  <si>
    <t xml:space="preserve">• สูตร USBR 1.36H^2.48 ให้ Q สูงกว่าสูตรกรมฯ 1.38H^2.5 ประมาณ 2% ในช่วง H 0.15–0.21 m</t>
  </si>
  <si>
    <t xml:space="preserve">9) ระยะเวลากักน้ำ (HRT) ช่อง 1 — เป้าหมาย 15 นาที</t>
  </si>
  <si>
    <t xml:space="preserve">HRT = ปริมาตรน้ำช่อง 1 ÷ น้ำเข้า  |  ระดับน้ำช่อง 1 ถูกพื้นยกช่อง 2 กำหนด จึงเพิ่มปริมาตรด้วยการลดพื้นช่อง 1 และขยายขนาด</t>
  </si>
  <si>
    <t xml:space="preserve">ข้อมูล</t>
  </si>
  <si>
    <t xml:space="preserve">HRT ที่ต้องการ</t>
  </si>
  <si>
    <t xml:space="preserve">จากชีต 1</t>
  </si>
  <si>
    <t xml:space="preserve">น้ำเข้าที่ใช้คิด HRT</t>
  </si>
  <si>
    <t xml:space="preserve">ค่าเฉลี่ย (แก้เป็น 100 ได้ถ้าคิดที่ค่าสูงสุด)</t>
  </si>
  <si>
    <t xml:space="preserve">ปริมาตรปั๊มจุ่ม (หัก)</t>
  </si>
  <si>
    <t xml:space="preserve">ระดับน้ำช่อง 1 (ที่ Q นี้)</t>
  </si>
  <si>
    <t xml:space="preserve">พื้นยก + ชั้นน้ำ + การสูญเสีย (ที่ Qavg)</t>
  </si>
  <si>
    <t xml:space="preserve">ปริมาตรน้ำที่ต้องการ</t>
  </si>
  <si>
    <t xml:space="preserve">Q × HRT + ส่วนที่ปั๊มกินที่</t>
  </si>
  <si>
    <t xml:space="preserve">ทางเลือก</t>
  </si>
  <si>
    <t xml:space="preserve">แบบ ข (ใช้)</t>
  </si>
  <si>
    <t xml:space="preserve">แบบ ก (เทียบ)</t>
  </si>
  <si>
    <t xml:space="preserve">ข = ค่าที่ใช้ (ชีต 1) / ก = ช่อง 1 แบบเดิม</t>
  </si>
  <si>
    <t xml:space="preserve">ความกว้างช่อง 1</t>
  </si>
  <si>
    <t xml:space="preserve">ข = ค่าที่ใช้ (ชีต 1) / ก = แบบเดิม</t>
  </si>
  <si>
    <t xml:space="preserve">น้ำลึก</t>
  </si>
  <si>
    <t xml:space="preserve">ระดับน้ำ − พื้น</t>
  </si>
  <si>
    <t xml:space="preserve">ความยาวช่อง 1 ขั้นต่ำ</t>
  </si>
  <si>
    <t xml:space="preserve">ปริมาตร ÷ (กว้าง × ลึก)</t>
  </si>
  <si>
    <t xml:space="preserve">ความยาวช่อง 1 ที่ใช้</t>
  </si>
  <si>
    <t xml:space="preserve">ปัดขึ้นทีละ 0.05</t>
  </si>
  <si>
    <t xml:space="preserve">ปริมาตรน้ำจริง</t>
  </si>
  <si>
    <t xml:space="preserve">HRT ที่ได้</t>
  </si>
  <si>
    <t xml:space="preserve">ตรวจ HRT</t>
  </si>
  <si>
    <t xml:space="preserve">HRT ที่น้ำเข้าสูงสุด</t>
  </si>
  <si>
    <t xml:space="preserve">ปั๊ม recycle เดินต่อได้เมื่อน้ำเข้าหยุด</t>
  </si>
  <si>
    <t xml:space="preserve">จากระดับน้ำลงถึง STOP (พื้น + 0.60)</t>
  </si>
  <si>
    <t xml:space="preserve">ความสูงผนังช่อง 1 (จากพื้นช่อง 1)</t>
  </si>
  <si>
    <t xml:space="preserve">สันกำแพง − พื้น</t>
  </si>
  <si>
    <t xml:space="preserve">บ่อยาวภายนอก</t>
  </si>
  <si>
    <t xml:space="preserve">ช่อง 1 + ช่อง 2 + ช่อง 3 + ผนัง</t>
  </si>
  <si>
    <t xml:space="preserve">กว้างภายนอก (ช่อง 1 / ช่อง 2–3)</t>
  </si>
  <si>
    <t xml:space="preserve">ตารางเลือกขนาด: ความยาวช่อง 1 ที่ต้องใช้ (m)</t>
  </si>
  <si>
    <t xml:space="preserve">พื้นช่อง 1  \  กว้าง (m)</t>
  </si>
  <si>
    <t xml:space="preserve">น้ำลึก (m)</t>
  </si>
  <si>
    <t xml:space="preserve">• ระดับน้ำช่อง 1 ถูกพื้นยกช่อง 2 กำหนดไว้ (~+0.95) จึงเพิ่มปริมาตรได้ทางเดียวคือขุดพื้นช่อง 1 ให้ลึกขึ้นหรือขยายขนาด</t>
  </si>
  <si>
    <t xml:space="preserve">• HRT นานขึ้น ตะกอนจะตกที่พื้นช่อง 1 มากขึ้น — ทำพื้นลาดเข้าหาปั๊ม 1:10 และเตรียมทางดูดตะกอน</t>
  </si>
  <si>
    <t xml:space="preserve">• ผนังช่อง 1 ที่ลึกขึ้นรับแรงดันดิน/น้ำมากขึ้น — ให้วิศวกรโยธาตรวจความหนาและเหล็กเสริม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</si>
</sst>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"/>
    <numFmt numFmtId="166" formatCode="0"/>
    <numFmt numFmtId="167" formatCode="0.0"/>
    <numFmt numFmtId="168" formatCode="0.00"/>
    <numFmt numFmtId="169" formatCode="\+0.00;\-0.00"/>
    <numFmt numFmtId="170" formatCode="0.000"/>
    <numFmt numFmtId="171" formatCode="0.00000"/>
    <numFmt numFmtId="172" formatCode="0.0000"/>
    <numFmt numFmtId="173" formatCode="\+0.00;\-0.00;0.00"/>
    <numFmt numFmtId="174" formatCode="\+0.000;\-0.000;\±0.000"/>
    <numFmt numFmtId="175" formatCode="\+0.0%;\-0.0%;0.0%"/>
    <numFmt numFmtId="176" formatCode="0%"/>
    <numFmt numFmtId="177" formatCode="\+0.000"/>
    <numFmt numFmtId="178" formatCode="\+0.00;\-0.00;\±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F8F4E"/>
      <name val="Arial"/>
      <family val="0"/>
      <charset val="1"/>
    </font>
    <font>
      <b val="true"/>
      <sz val="11"/>
      <color rgb="FFC2410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2F8F4E"/>
      <rgbColor rgb="FF003300"/>
      <rgbColor rgb="FF333300"/>
      <rgbColor rgb="FFC2410C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7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8" t="n">
        <v>65</v>
      </c>
      <c r="D10" s="6" t="s">
        <v>11</v>
      </c>
      <c r="E10" s="6" t="s">
        <v>16</v>
      </c>
    </row>
    <row r="11" customFormat="false" ht="15" hidden="false" customHeight="false" outlineLevel="0" collapsed="false">
      <c r="B11" s="6" t="s">
        <v>17</v>
      </c>
      <c r="C11" s="9" t="n">
        <f aca="false">'1 ข้อมูล'!$C$6/24</f>
        <v>62.7916666666667</v>
      </c>
      <c r="D11" s="6" t="s">
        <v>11</v>
      </c>
      <c r="E11" s="6" t="s">
        <v>18</v>
      </c>
    </row>
    <row r="13" customFormat="false" ht="15" hidden="false" customHeight="false" outlineLevel="0" collapsed="false">
      <c r="B13" s="4" t="s">
        <v>19</v>
      </c>
      <c r="C13" s="5"/>
      <c r="D13" s="5"/>
      <c r="E13" s="5"/>
    </row>
    <row r="14" customFormat="false" ht="15" hidden="false" customHeight="false" outlineLevel="0" collapsed="false">
      <c r="B14" s="6" t="s">
        <v>20</v>
      </c>
      <c r="C14" s="10" t="n">
        <v>0.05</v>
      </c>
      <c r="D14" s="6" t="s">
        <v>21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0.05</v>
      </c>
      <c r="D15" s="6" t="s">
        <v>21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0.08</v>
      </c>
      <c r="D16" s="6" t="s">
        <v>21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0.1</v>
      </c>
      <c r="D17" s="6" t="s">
        <v>21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0.02</v>
      </c>
      <c r="D18" s="6" t="s">
        <v>21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0.3</v>
      </c>
      <c r="D19" s="6" t="s">
        <v>21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1" t="n">
        <v>0.9</v>
      </c>
      <c r="D20" s="6" t="s">
        <v>21</v>
      </c>
      <c r="E20" s="6" t="s">
        <v>34</v>
      </c>
    </row>
    <row r="21" customFormat="false" ht="15" hidden="false" customHeight="false" outlineLevel="0" collapsed="false">
      <c r="B21" s="6" t="s">
        <v>35</v>
      </c>
      <c r="C21" s="10" t="n">
        <v>0.9</v>
      </c>
      <c r="D21" s="6" t="s">
        <v>21</v>
      </c>
      <c r="E21" s="6" t="s">
        <v>36</v>
      </c>
    </row>
    <row r="22" customFormat="false" ht="15" hidden="false" customHeight="false" outlineLevel="0" collapsed="false">
      <c r="B22" s="6" t="s">
        <v>37</v>
      </c>
      <c r="C22" s="10" t="n">
        <v>0.2</v>
      </c>
      <c r="D22" s="6" t="s">
        <v>21</v>
      </c>
      <c r="E22" s="6" t="s">
        <v>38</v>
      </c>
    </row>
    <row r="23" customFormat="false" ht="15" hidden="false" customHeight="false" outlineLevel="0" collapsed="false">
      <c r="B23" s="6" t="s">
        <v>39</v>
      </c>
      <c r="C23" s="10" t="n">
        <v>0.1</v>
      </c>
      <c r="D23" s="6" t="s">
        <v>40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1" t="n">
        <v>1.1</v>
      </c>
      <c r="D24" s="6" t="s">
        <v>21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2" t="n">
        <v>0.154</v>
      </c>
      <c r="D25" s="6" t="s">
        <v>21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1</v>
      </c>
      <c r="D26" s="6" t="s">
        <v>21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8" t="n">
        <v>3</v>
      </c>
      <c r="D27" s="6" t="s">
        <v>49</v>
      </c>
      <c r="E27" s="6" t="s">
        <v>50</v>
      </c>
    </row>
    <row r="28" customFormat="false" ht="15" hidden="false" customHeight="false" outlineLevel="0" collapsed="false">
      <c r="B28" s="6" t="s">
        <v>51</v>
      </c>
      <c r="C28" s="8" t="n">
        <v>24</v>
      </c>
      <c r="D28" s="6" t="s">
        <v>52</v>
      </c>
      <c r="E28" s="6"/>
    </row>
    <row r="29" customFormat="false" ht="15" hidden="false" customHeight="false" outlineLevel="0" collapsed="false">
      <c r="B29" s="6" t="s">
        <v>53</v>
      </c>
      <c r="C29" s="10" t="n">
        <v>0.15</v>
      </c>
      <c r="D29" s="6" t="s">
        <v>21</v>
      </c>
      <c r="E29" s="6" t="s">
        <v>54</v>
      </c>
    </row>
    <row r="30" customFormat="false" ht="15" hidden="false" customHeight="false" outlineLevel="0" collapsed="false">
      <c r="B30" s="6" t="s">
        <v>55</v>
      </c>
      <c r="C30" s="10" t="n">
        <v>0.1</v>
      </c>
      <c r="D30" s="6" t="s">
        <v>21</v>
      </c>
      <c r="E30" s="6" t="s">
        <v>56</v>
      </c>
    </row>
    <row r="31" customFormat="false" ht="15" hidden="false" customHeight="false" outlineLevel="0" collapsed="false">
      <c r="B31" s="6" t="s">
        <v>57</v>
      </c>
      <c r="C31" s="10" t="n">
        <v>0.4</v>
      </c>
      <c r="D31" s="6" t="s">
        <v>21</v>
      </c>
      <c r="E31" s="6" t="s">
        <v>58</v>
      </c>
    </row>
    <row r="32" customFormat="false" ht="15" hidden="false" customHeight="false" outlineLevel="0" collapsed="false">
      <c r="B32" s="6" t="s">
        <v>59</v>
      </c>
      <c r="C32" s="10" t="n">
        <v>0.3</v>
      </c>
      <c r="D32" s="6" t="s">
        <v>21</v>
      </c>
      <c r="E32" s="6" t="s">
        <v>60</v>
      </c>
    </row>
    <row r="33" customFormat="false" ht="15" hidden="false" customHeight="false" outlineLevel="0" collapsed="false">
      <c r="B33" s="6" t="s">
        <v>61</v>
      </c>
      <c r="C33" s="10" t="n">
        <v>0.1</v>
      </c>
      <c r="D33" s="6" t="s">
        <v>21</v>
      </c>
      <c r="E33" s="6" t="s">
        <v>62</v>
      </c>
    </row>
    <row r="34" customFormat="false" ht="15" hidden="false" customHeight="false" outlineLevel="0" collapsed="false">
      <c r="B34" s="6" t="s">
        <v>63</v>
      </c>
      <c r="C34" s="8" t="n">
        <v>15</v>
      </c>
      <c r="D34" s="6" t="s">
        <v>64</v>
      </c>
      <c r="E34" s="6" t="s">
        <v>65</v>
      </c>
    </row>
    <row r="35" customFormat="false" ht="15" hidden="false" customHeight="false" outlineLevel="0" collapsed="false">
      <c r="B35" s="6" t="s">
        <v>66</v>
      </c>
      <c r="C35" s="11" t="n">
        <v>-1.2</v>
      </c>
      <c r="D35" s="6" t="s">
        <v>21</v>
      </c>
      <c r="E35" s="6" t="s">
        <v>67</v>
      </c>
    </row>
    <row r="36" customFormat="false" ht="15" hidden="false" customHeight="false" outlineLevel="0" collapsed="false">
      <c r="B36" s="6" t="s">
        <v>68</v>
      </c>
      <c r="C36" s="10" t="n">
        <v>3.5</v>
      </c>
      <c r="D36" s="6" t="s">
        <v>21</v>
      </c>
      <c r="E36" s="6" t="s">
        <v>69</v>
      </c>
    </row>
    <row r="37" customFormat="false" ht="15" hidden="false" customHeight="false" outlineLevel="0" collapsed="false">
      <c r="B37" s="6" t="s">
        <v>70</v>
      </c>
      <c r="C37" s="10" t="n">
        <v>0.09</v>
      </c>
      <c r="D37" s="6" t="s">
        <v>71</v>
      </c>
      <c r="E37" s="6" t="s">
        <v>72</v>
      </c>
    </row>
    <row r="38" customFormat="false" ht="15" hidden="false" customHeight="false" outlineLevel="0" collapsed="false">
      <c r="B38" s="6" t="s">
        <v>73</v>
      </c>
      <c r="C38" s="10" t="n">
        <v>0.1</v>
      </c>
      <c r="D38" s="6" t="s">
        <v>21</v>
      </c>
      <c r="E38" s="6" t="s">
        <v>74</v>
      </c>
    </row>
    <row r="39" customFormat="false" ht="15" hidden="false" customHeight="false" outlineLevel="0" collapsed="false">
      <c r="B39" s="6" t="s">
        <v>75</v>
      </c>
      <c r="C39" s="10" t="n">
        <v>0.1</v>
      </c>
      <c r="D39" s="6" t="s">
        <v>40</v>
      </c>
      <c r="E39" s="6" t="s">
        <v>76</v>
      </c>
    </row>
    <row r="40" customFormat="false" ht="15" hidden="false" customHeight="false" outlineLevel="0" collapsed="false">
      <c r="B40" s="6" t="s">
        <v>77</v>
      </c>
      <c r="C40" s="10" t="n">
        <v>0.5</v>
      </c>
      <c r="D40" s="6" t="s">
        <v>21</v>
      </c>
      <c r="E40" s="6" t="s">
        <v>78</v>
      </c>
    </row>
    <row r="41" customFormat="false" ht="15" hidden="false" customHeight="false" outlineLevel="0" collapsed="false">
      <c r="B41" s="6" t="s">
        <v>79</v>
      </c>
      <c r="C41" s="10" t="n">
        <v>0.2</v>
      </c>
      <c r="D41" s="6" t="s">
        <v>21</v>
      </c>
      <c r="E41" s="6"/>
    </row>
    <row r="42" customFormat="false" ht="15" hidden="false" customHeight="false" outlineLevel="0" collapsed="false">
      <c r="B42" s="6" t="s">
        <v>80</v>
      </c>
      <c r="C42" s="10" t="n">
        <v>0.1</v>
      </c>
      <c r="D42" s="6" t="s">
        <v>21</v>
      </c>
      <c r="E42" s="6" t="s">
        <v>81</v>
      </c>
    </row>
    <row r="43" customFormat="false" ht="15" hidden="false" customHeight="false" outlineLevel="0" collapsed="false">
      <c r="B43" s="6" t="s">
        <v>82</v>
      </c>
      <c r="C43" s="10" t="n">
        <v>0.1</v>
      </c>
      <c r="D43" s="6" t="s">
        <v>21</v>
      </c>
      <c r="E43" s="6"/>
    </row>
    <row r="44" customFormat="false" ht="15" hidden="false" customHeight="false" outlineLevel="0" collapsed="false">
      <c r="B44" s="6" t="s">
        <v>83</v>
      </c>
      <c r="C44" s="10" t="n">
        <v>0.1</v>
      </c>
      <c r="D44" s="6" t="s">
        <v>21</v>
      </c>
      <c r="E44" s="6" t="s">
        <v>84</v>
      </c>
    </row>
    <row r="45" customFormat="false" ht="15" hidden="false" customHeight="false" outlineLevel="0" collapsed="false">
      <c r="B45" s="6" t="s">
        <v>85</v>
      </c>
      <c r="C45" s="10" t="n">
        <v>0.1</v>
      </c>
      <c r="D45" s="6" t="s">
        <v>21</v>
      </c>
      <c r="E45" s="6" t="s">
        <v>86</v>
      </c>
    </row>
    <row r="46" customFormat="false" ht="15" hidden="false" customHeight="false" outlineLevel="0" collapsed="false">
      <c r="B46" s="6" t="s">
        <v>87</v>
      </c>
      <c r="C46" s="12" t="n">
        <v>0.006</v>
      </c>
      <c r="D46" s="6" t="s">
        <v>21</v>
      </c>
      <c r="E46" s="6"/>
    </row>
    <row r="47" customFormat="false" ht="15" hidden="false" customHeight="false" outlineLevel="0" collapsed="false">
      <c r="B47" s="6" t="s">
        <v>88</v>
      </c>
      <c r="C47" s="10" t="n">
        <v>0.3</v>
      </c>
      <c r="D47" s="6" t="s">
        <v>21</v>
      </c>
      <c r="E47" s="6" t="s">
        <v>89</v>
      </c>
    </row>
    <row r="48" customFormat="false" ht="15" hidden="false" customHeight="false" outlineLevel="0" collapsed="false">
      <c r="B48" s="6" t="s">
        <v>90</v>
      </c>
      <c r="C48" s="10" t="n">
        <v>0.15</v>
      </c>
      <c r="D48" s="6" t="s">
        <v>21</v>
      </c>
      <c r="E48" s="6" t="s">
        <v>91</v>
      </c>
    </row>
    <row r="49" customFormat="false" ht="15" hidden="false" customHeight="false" outlineLevel="0" collapsed="false">
      <c r="B49" s="6" t="s">
        <v>92</v>
      </c>
      <c r="C49" s="10" t="n">
        <v>0.25</v>
      </c>
      <c r="D49" s="6" t="s">
        <v>21</v>
      </c>
      <c r="E49" s="6" t="s">
        <v>93</v>
      </c>
    </row>
    <row r="50" customFormat="false" ht="15" hidden="false" customHeight="false" outlineLevel="0" collapsed="false">
      <c r="B50" s="6" t="s">
        <v>94</v>
      </c>
      <c r="C50" s="10" t="n">
        <v>0.2</v>
      </c>
      <c r="D50" s="6" t="s">
        <v>21</v>
      </c>
      <c r="E50" s="6" t="s">
        <v>95</v>
      </c>
    </row>
    <row r="51" customFormat="false" ht="15" hidden="false" customHeight="false" outlineLevel="0" collapsed="false">
      <c r="B51" s="6" t="s">
        <v>96</v>
      </c>
      <c r="C51" s="10" t="n">
        <v>1.1</v>
      </c>
      <c r="D51" s="6" t="s">
        <v>21</v>
      </c>
      <c r="E51" s="6" t="s">
        <v>97</v>
      </c>
    </row>
    <row r="52" customFormat="false" ht="15" hidden="false" customHeight="false" outlineLevel="0" collapsed="false">
      <c r="B52" s="6" t="s">
        <v>98</v>
      </c>
      <c r="C52" s="10" t="n">
        <v>0.05</v>
      </c>
      <c r="D52" s="6" t="s">
        <v>21</v>
      </c>
      <c r="E52" s="6" t="s">
        <v>99</v>
      </c>
    </row>
    <row r="53" customFormat="false" ht="15" hidden="false" customHeight="false" outlineLevel="0" collapsed="false">
      <c r="B53" s="6" t="s">
        <v>100</v>
      </c>
      <c r="C53" s="10" t="n">
        <v>1.25</v>
      </c>
      <c r="D53" s="6" t="s">
        <v>21</v>
      </c>
      <c r="E53" s="6"/>
    </row>
    <row r="54" customFormat="false" ht="15" hidden="false" customHeight="false" outlineLevel="0" collapsed="false">
      <c r="B54" s="6" t="s">
        <v>101</v>
      </c>
      <c r="C54" s="10" t="n">
        <v>0.2</v>
      </c>
      <c r="D54" s="6" t="s">
        <v>21</v>
      </c>
      <c r="E54" s="6" t="s">
        <v>102</v>
      </c>
    </row>
    <row r="55" customFormat="false" ht="15" hidden="false" customHeight="false" outlineLevel="0" collapsed="false">
      <c r="B55" s="6" t="s">
        <v>103</v>
      </c>
      <c r="C55" s="10" t="n">
        <v>0.2</v>
      </c>
      <c r="D55" s="6" t="s">
        <v>21</v>
      </c>
      <c r="E55" s="6"/>
    </row>
    <row r="56" customFormat="false" ht="15" hidden="false" customHeight="false" outlineLevel="0" collapsed="false">
      <c r="B56" s="6" t="s">
        <v>104</v>
      </c>
      <c r="C56" s="10" t="n">
        <v>0.05</v>
      </c>
      <c r="D56" s="6" t="s">
        <v>21</v>
      </c>
      <c r="E56" s="6" t="s">
        <v>105</v>
      </c>
    </row>
    <row r="58" customFormat="false" ht="15" hidden="false" customHeight="false" outlineLevel="0" collapsed="false">
      <c r="B58" s="4" t="s">
        <v>106</v>
      </c>
      <c r="C58" s="5"/>
      <c r="D58" s="5"/>
      <c r="E58" s="5"/>
    </row>
    <row r="59" customFormat="false" ht="15" hidden="false" customHeight="false" outlineLevel="0" collapsed="false">
      <c r="B59" s="6" t="s">
        <v>107</v>
      </c>
      <c r="C59" s="13" t="n">
        <v>9.81</v>
      </c>
      <c r="D59" s="6" t="s">
        <v>108</v>
      </c>
      <c r="E59" s="6"/>
    </row>
    <row r="60" customFormat="false" ht="15" hidden="false" customHeight="false" outlineLevel="0" collapsed="false">
      <c r="B60" s="6" t="s">
        <v>109</v>
      </c>
      <c r="C60" s="13" t="n">
        <v>9.81</v>
      </c>
      <c r="D60" s="6" t="s">
        <v>110</v>
      </c>
      <c r="E60" s="6"/>
    </row>
    <row r="61" customFormat="false" ht="15" hidden="false" customHeight="false" outlineLevel="0" collapsed="false">
      <c r="B61" s="6" t="s">
        <v>111</v>
      </c>
      <c r="C61" s="14" t="n">
        <v>1.38</v>
      </c>
      <c r="D61" s="6" t="s">
        <v>112</v>
      </c>
      <c r="E61" s="6" t="s">
        <v>113</v>
      </c>
    </row>
    <row r="62" customFormat="false" ht="15" hidden="false" customHeight="false" outlineLevel="0" collapsed="false">
      <c r="B62" s="6" t="s">
        <v>114</v>
      </c>
      <c r="C62" s="14" t="n">
        <v>0.578</v>
      </c>
      <c r="D62" s="6" t="s">
        <v>112</v>
      </c>
      <c r="E62" s="6" t="s">
        <v>115</v>
      </c>
    </row>
    <row r="63" customFormat="false" ht="15" hidden="false" customHeight="false" outlineLevel="0" collapsed="false">
      <c r="B63" s="6" t="s">
        <v>116</v>
      </c>
      <c r="C63" s="15" t="n">
        <v>0.00085</v>
      </c>
      <c r="D63" s="6" t="s">
        <v>21</v>
      </c>
      <c r="E63" s="6" t="s">
        <v>115</v>
      </c>
    </row>
    <row r="64" customFormat="false" ht="15" hidden="false" customHeight="false" outlineLevel="0" collapsed="false">
      <c r="B64" s="6" t="s">
        <v>117</v>
      </c>
      <c r="C64" s="13" t="n">
        <v>1.84</v>
      </c>
      <c r="D64" s="6" t="s">
        <v>112</v>
      </c>
      <c r="E64" s="6" t="s">
        <v>118</v>
      </c>
    </row>
    <row r="65" customFormat="false" ht="15" hidden="false" customHeight="false" outlineLevel="0" collapsed="false">
      <c r="B65" s="6" t="s">
        <v>119</v>
      </c>
      <c r="C65" s="13" t="n">
        <v>0.6</v>
      </c>
      <c r="D65" s="6" t="s">
        <v>112</v>
      </c>
      <c r="E65" s="6" t="s">
        <v>120</v>
      </c>
    </row>
    <row r="66" customFormat="false" ht="15" hidden="false" customHeight="false" outlineLevel="0" collapsed="false">
      <c r="B66" s="6" t="s">
        <v>121</v>
      </c>
      <c r="C66" s="16" t="n">
        <v>205</v>
      </c>
      <c r="D66" s="6" t="s">
        <v>52</v>
      </c>
      <c r="E66" s="6"/>
    </row>
    <row r="67" customFormat="false" ht="15" hidden="false" customHeight="false" outlineLevel="0" collapsed="false">
      <c r="B67" s="6" t="s">
        <v>122</v>
      </c>
      <c r="C67" s="16" t="n">
        <v>400</v>
      </c>
      <c r="D67" s="6" t="s">
        <v>52</v>
      </c>
      <c r="E67" s="6"/>
    </row>
    <row r="68" customFormat="false" ht="15" hidden="false" customHeight="false" outlineLevel="0" collapsed="false">
      <c r="B68" s="6" t="s">
        <v>123</v>
      </c>
      <c r="C68" s="9" t="n">
        <v>1.7</v>
      </c>
      <c r="D68" s="6" t="s">
        <v>112</v>
      </c>
      <c r="E68" s="6"/>
    </row>
    <row r="70" customFormat="false" ht="15" hidden="false" customHeight="false" outlineLevel="0" collapsed="false">
      <c r="B70" s="4" t="s">
        <v>124</v>
      </c>
      <c r="C70" s="5"/>
      <c r="D70" s="5"/>
      <c r="E70" s="5"/>
    </row>
    <row r="71" customFormat="false" ht="15" hidden="false" customHeight="false" outlineLevel="0" collapsed="false">
      <c r="B71" s="6" t="s">
        <v>125</v>
      </c>
      <c r="C71" s="17" t="s">
        <v>126</v>
      </c>
      <c r="D71" s="6"/>
      <c r="E71" s="6" t="s">
        <v>127</v>
      </c>
    </row>
    <row r="72" customFormat="false" ht="15" hidden="false" customHeight="false" outlineLevel="0" collapsed="false">
      <c r="B72" s="6" t="s">
        <v>128</v>
      </c>
      <c r="C72" s="18" t="s">
        <v>129</v>
      </c>
      <c r="D72" s="6"/>
      <c r="E72" s="6" t="s">
        <v>130</v>
      </c>
    </row>
    <row r="73" customFormat="false" ht="15" hidden="false" customHeight="false" outlineLevel="0" collapsed="false">
      <c r="B73" s="6" t="s">
        <v>131</v>
      </c>
      <c r="C73" s="6" t="s">
        <v>132</v>
      </c>
      <c r="D73" s="6"/>
      <c r="E73" s="6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134</v>
      </c>
    </row>
    <row r="2" customFormat="false" ht="15" hidden="false" customHeight="false" outlineLevel="0" collapsed="false">
      <c r="B2" s="2" t="s">
        <v>135</v>
      </c>
    </row>
    <row r="4" customFormat="false" ht="15" hidden="false" customHeight="false" outlineLevel="0" collapsed="false">
      <c r="B4" s="4" t="s">
        <v>136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137</v>
      </c>
      <c r="C5" s="14" t="n">
        <f aca="false">'1 ข้อมูล'!$C$61</f>
        <v>1.38</v>
      </c>
      <c r="D5" s="6" t="s">
        <v>112</v>
      </c>
      <c r="E5" s="6" t="s">
        <v>138</v>
      </c>
      <c r="F5" s="6"/>
      <c r="G5" s="6"/>
      <c r="H5" s="6"/>
    </row>
    <row r="6" customFormat="false" ht="26.85" hidden="false" customHeight="false" outlineLevel="0" collapsed="false">
      <c r="B6" s="6" t="s">
        <v>139</v>
      </c>
      <c r="C6" s="19" t="n">
        <f aca="false">'1 ข้อมูล'!$C$62*(8/15)*SQRT(2*'1 ข้อมูล'!$C$59)</f>
        <v>1.36545083661038</v>
      </c>
      <c r="D6" s="6" t="s">
        <v>112</v>
      </c>
      <c r="E6" s="6" t="s">
        <v>140</v>
      </c>
      <c r="F6" s="6"/>
      <c r="G6" s="6"/>
      <c r="H6" s="6"/>
    </row>
    <row r="8" customFormat="false" ht="15" hidden="false" customHeight="false" outlineLevel="0" collapsed="false">
      <c r="B8" s="4" t="s">
        <v>141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142</v>
      </c>
      <c r="C9" s="3" t="s">
        <v>143</v>
      </c>
      <c r="D9" s="3" t="s">
        <v>144</v>
      </c>
      <c r="E9" s="3" t="s">
        <v>145</v>
      </c>
      <c r="F9" s="3" t="s">
        <v>146</v>
      </c>
      <c r="G9" s="3" t="s">
        <v>147</v>
      </c>
      <c r="H9" s="3" t="s">
        <v>148</v>
      </c>
    </row>
    <row r="10" customFormat="false" ht="15" hidden="false" customHeight="false" outlineLevel="0" collapsed="false">
      <c r="B10" s="6" t="s">
        <v>149</v>
      </c>
      <c r="C10" s="9" t="n">
        <f aca="false">'1 ข้อมูล'!$C$7-'1 ข้อมูล'!$C$9</f>
        <v>40</v>
      </c>
      <c r="D10" s="15" t="n">
        <f aca="false">C10/3600</f>
        <v>0.0111111111111111</v>
      </c>
      <c r="E10" s="20" t="n">
        <f aca="false">(D10/'2 เวียร์'!$C$5)^0.4*100</f>
        <v>14.532869095236</v>
      </c>
      <c r="F10" s="9" t="n">
        <f aca="false">((D10/'2 เวียร์'!$C$6)^0.4-'1 ข้อมูล'!$C$63)*100</f>
        <v>14.5096125168743</v>
      </c>
      <c r="G10" s="21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150</v>
      </c>
      <c r="C11" s="9" t="n">
        <f aca="false">'1 ข้อมูล'!$C$11-'1 ข้อมูล'!$C$9</f>
        <v>52.7916666666667</v>
      </c>
      <c r="D11" s="15" t="n">
        <f aca="false">C11/3600</f>
        <v>0.0146643518518519</v>
      </c>
      <c r="E11" s="20" t="n">
        <f aca="false">(D11/'2 เวียร์'!$C$5)^0.4*100</f>
        <v>16.2387843483091</v>
      </c>
      <c r="F11" s="9" t="n">
        <f aca="false">((D11/'2 เวียร์'!$C$6)^0.4-'1 ข้อมูล'!$C$63)*100</f>
        <v>16.2227754127948</v>
      </c>
      <c r="G11" s="21" t="n">
        <f aca="false">E11-F11</f>
        <v>0.0160089355143072</v>
      </c>
      <c r="H11" s="6" t="s">
        <v>151</v>
      </c>
    </row>
    <row r="12" customFormat="false" ht="26.85" hidden="false" customHeight="false" outlineLevel="0" collapsed="false">
      <c r="B12" s="22" t="s">
        <v>152</v>
      </c>
      <c r="C12" s="9" t="n">
        <f aca="false">'1 ข้อมูล'!$C$10</f>
        <v>65</v>
      </c>
      <c r="D12" s="15" t="n">
        <f aca="false">C12/3600</f>
        <v>0.0180555555555556</v>
      </c>
      <c r="E12" s="20" t="n">
        <f aca="false">(D12/'2 เวียร์'!$C$5)^0.4*100</f>
        <v>17.6478867353208</v>
      </c>
      <c r="F12" s="9" t="n">
        <f aca="false">((D12/'2 เวียร์'!$C$6)^0.4-'1 ข้อมูล'!$C$63)*100</f>
        <v>17.6378644224233</v>
      </c>
      <c r="G12" s="21" t="n">
        <f aca="false">E12-F12</f>
        <v>0.0100223128974868</v>
      </c>
      <c r="H12" s="6" t="s">
        <v>153</v>
      </c>
    </row>
    <row r="13" customFormat="false" ht="26.85" hidden="false" customHeight="false" outlineLevel="0" collapsed="false">
      <c r="B13" s="6" t="s">
        <v>154</v>
      </c>
      <c r="C13" s="9" t="n">
        <f aca="false">'1 ข้อมูล'!$C$8</f>
        <v>100</v>
      </c>
      <c r="D13" s="15" t="n">
        <f aca="false">C13/3600</f>
        <v>0.0277777777777778</v>
      </c>
      <c r="E13" s="20" t="n">
        <f aca="false">(D13/'2 เวียร์'!$C$5)^0.4*100</f>
        <v>20.9665688762588</v>
      </c>
      <c r="F13" s="9" t="n">
        <f aca="false">((D13/'2 เวียร์'!$C$6)^0.4-'1 ข้อมูล'!$C$63)*100</f>
        <v>20.9706461048468</v>
      </c>
      <c r="G13" s="21" t="n">
        <f aca="false">E13-F13</f>
        <v>-0.00407722858800952</v>
      </c>
      <c r="H13" s="6" t="s">
        <v>155</v>
      </c>
    </row>
    <row r="15" customFormat="false" ht="15" hidden="false" customHeight="false" outlineLevel="0" collapsed="false">
      <c r="B15" s="23" t="s">
        <v>156</v>
      </c>
    </row>
    <row r="16" customFormat="false" ht="15" hidden="false" customHeight="false" outlineLevel="0" collapsed="false">
      <c r="B16" s="23" t="s">
        <v>157</v>
      </c>
    </row>
    <row r="17" customFormat="false" ht="15" hidden="false" customHeight="false" outlineLevel="0" collapsed="false">
      <c r="B17" s="23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159</v>
      </c>
    </row>
    <row r="2" customFormat="false" ht="15" hidden="false" customHeight="false" outlineLevel="0" collapsed="false">
      <c r="B2" s="2" t="s">
        <v>160</v>
      </c>
    </row>
    <row r="4" customFormat="false" ht="15" hidden="false" customHeight="false" outlineLevel="0" collapsed="false">
      <c r="B4" s="3" t="s">
        <v>2</v>
      </c>
      <c r="C4" s="3" t="s">
        <v>161</v>
      </c>
      <c r="D4" s="3" t="s">
        <v>162</v>
      </c>
      <c r="E4" s="3" t="s">
        <v>163</v>
      </c>
      <c r="F4" s="3" t="s">
        <v>4</v>
      </c>
      <c r="G4" s="3" t="s">
        <v>164</v>
      </c>
    </row>
    <row r="6" customFormat="false" ht="15" hidden="false" customHeight="false" outlineLevel="0" collapsed="false">
      <c r="B6" s="4" t="s">
        <v>165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166</v>
      </c>
      <c r="C7" s="6" t="s">
        <v>167</v>
      </c>
      <c r="D7" s="14"/>
      <c r="E7" s="24" t="n">
        <f aca="false">('2 เวียร์'!$E$12/100)</f>
        <v>0.176478867353208</v>
      </c>
      <c r="F7" s="6" t="s">
        <v>21</v>
      </c>
      <c r="G7" s="6" t="s">
        <v>168</v>
      </c>
    </row>
    <row r="8" customFormat="false" ht="15" hidden="false" customHeight="false" outlineLevel="0" collapsed="false">
      <c r="B8" s="6" t="s">
        <v>169</v>
      </c>
      <c r="C8" s="6" t="s">
        <v>170</v>
      </c>
      <c r="D8" s="14"/>
      <c r="E8" s="24" t="n">
        <f aca="false">('2 เวียร์'!$E$13/100)</f>
        <v>0.209665688762588</v>
      </c>
      <c r="F8" s="6" t="s">
        <v>21</v>
      </c>
      <c r="G8" s="6" t="s">
        <v>171</v>
      </c>
    </row>
    <row r="9" customFormat="false" ht="15" hidden="false" customHeight="false" outlineLevel="0" collapsed="false">
      <c r="B9" s="6" t="s">
        <v>172</v>
      </c>
      <c r="C9" s="6" t="s">
        <v>173</v>
      </c>
      <c r="D9" s="14" t="n">
        <f aca="false">MAX(0.45,'3 ขนาดบ่อ'!$E$7/0.4)+'1 ข้อมูล'!$C$15</f>
        <v>0.5</v>
      </c>
      <c r="E9" s="24" t="n">
        <f aca="false">CEILING(ROUND(D9,4),'1 ข้อมูล'!$C$14)</f>
        <v>0.5</v>
      </c>
      <c r="F9" s="6" t="s">
        <v>21</v>
      </c>
      <c r="G9" s="6" t="s">
        <v>174</v>
      </c>
    </row>
    <row r="10" customFormat="false" ht="15" hidden="false" customHeight="false" outlineLevel="0" collapsed="false">
      <c r="B10" s="6" t="s">
        <v>175</v>
      </c>
      <c r="C10" s="6" t="s">
        <v>176</v>
      </c>
      <c r="D10" s="14" t="n">
        <f aca="false">'3 ขนาดบ่อ'!$E$7+'1 ข้อมูล'!$C$16</f>
        <v>0.256478867353208</v>
      </c>
      <c r="E10" s="24" t="n">
        <f aca="false">CEILING(ROUND('3 ขนาดบ่อ'!$E$7+'1 ข้อมูล'!$C$16,4),0.01)</f>
        <v>0.26</v>
      </c>
      <c r="F10" s="6" t="s">
        <v>21</v>
      </c>
      <c r="G10" s="6" t="s">
        <v>177</v>
      </c>
    </row>
    <row r="11" customFormat="false" ht="15" hidden="false" customHeight="false" outlineLevel="0" collapsed="false">
      <c r="B11" s="6" t="s">
        <v>178</v>
      </c>
      <c r="C11" s="6" t="s">
        <v>179</v>
      </c>
      <c r="D11" s="14"/>
      <c r="E11" s="24" t="n">
        <f aca="false">2*'3 ขนาดบ่อ'!$E$10</f>
        <v>0.52</v>
      </c>
      <c r="F11" s="6" t="s">
        <v>21</v>
      </c>
      <c r="G11" s="6" t="s">
        <v>180</v>
      </c>
    </row>
    <row r="12" customFormat="false" ht="15" hidden="false" customHeight="false" outlineLevel="0" collapsed="false">
      <c r="B12" s="6" t="s">
        <v>181</v>
      </c>
      <c r="C12" s="6" t="s">
        <v>182</v>
      </c>
      <c r="D12" s="14"/>
      <c r="E12" s="24" t="n">
        <f aca="false">2*'3 ขนาดบ่อ'!$E$7</f>
        <v>0.352957734706415</v>
      </c>
      <c r="F12" s="6" t="s">
        <v>21</v>
      </c>
      <c r="G12" s="6" t="s">
        <v>183</v>
      </c>
    </row>
    <row r="13" customFormat="false" ht="26.85" hidden="false" customHeight="false" outlineLevel="0" collapsed="false">
      <c r="B13" s="6" t="s">
        <v>184</v>
      </c>
      <c r="C13" s="6" t="s">
        <v>185</v>
      </c>
      <c r="D13" s="14"/>
      <c r="E13" s="24" t="n">
        <f aca="false">MAX(0.9,'3 ขนาดบ่อ'!$E$7/0.2,'3 ขนาดบ่อ'!$E$11+2*'3 ขนาดบ่อ'!$E$12)</f>
        <v>1.22591546941283</v>
      </c>
      <c r="F13" s="6" t="s">
        <v>21</v>
      </c>
      <c r="G13" s="6" t="s">
        <v>186</v>
      </c>
    </row>
    <row r="14" customFormat="false" ht="15" hidden="false" customHeight="false" outlineLevel="0" collapsed="false">
      <c r="B14" s="6" t="s">
        <v>187</v>
      </c>
      <c r="C14" s="6" t="s">
        <v>188</v>
      </c>
      <c r="D14" s="14" t="n">
        <f aca="false">MAX('3 ขนาดบ่อ'!$E$13,'1 ข้อมูล'!$C$21)</f>
        <v>1.22591546941283</v>
      </c>
      <c r="E14" s="24" t="n">
        <f aca="false">CEILING(ROUND(D14,4),'1 ข้อมูล'!$C$14)</f>
        <v>1.25</v>
      </c>
      <c r="F14" s="6" t="s">
        <v>21</v>
      </c>
      <c r="G14" s="6"/>
    </row>
    <row r="15" customFormat="false" ht="15" hidden="false" customHeight="false" outlineLevel="0" collapsed="false">
      <c r="B15" s="6" t="s">
        <v>189</v>
      </c>
      <c r="C15" s="6" t="s">
        <v>190</v>
      </c>
      <c r="D15" s="14" t="n">
        <f aca="false">10*'3 ขนาดบ่อ'!$E$7</f>
        <v>1.76478867353208</v>
      </c>
      <c r="E15" s="24" t="n">
        <f aca="false">CEILING(ROUND(D15,4),'1 ข้อมูล'!$C$14)</f>
        <v>1.8</v>
      </c>
      <c r="F15" s="6" t="s">
        <v>21</v>
      </c>
      <c r="G15" s="6" t="s">
        <v>191</v>
      </c>
    </row>
    <row r="16" customFormat="false" ht="15" hidden="false" customHeight="false" outlineLevel="0" collapsed="false">
      <c r="B16" s="6" t="s">
        <v>192</v>
      </c>
      <c r="C16" s="6" t="s">
        <v>193</v>
      </c>
      <c r="D16" s="14" t="n">
        <f aca="false">4.5*'3 ขนาดบ่อ'!$E$7</f>
        <v>0.794154903089434</v>
      </c>
      <c r="E16" s="24" t="n">
        <f aca="false">ROUND(D16/'1 ข้อมูล'!$C$14,0)*'1 ข้อมูล'!$C$14</f>
        <v>0.8</v>
      </c>
      <c r="F16" s="6" t="s">
        <v>21</v>
      </c>
      <c r="G16" s="6" t="s">
        <v>194</v>
      </c>
    </row>
    <row r="17" customFormat="false" ht="15" hidden="false" customHeight="false" outlineLevel="0" collapsed="false">
      <c r="B17" s="6" t="s">
        <v>195</v>
      </c>
      <c r="C17" s="6" t="s">
        <v>196</v>
      </c>
      <c r="D17" s="14" t="n">
        <f aca="false">'3 ขนาดบ่อ'!$E$7/'3 ขนาดบ่อ'!$E$9</f>
        <v>0.352957734706415</v>
      </c>
      <c r="E17" s="18" t="str">
        <f aca="false">IF(D17&lt;=0.4,"ผ่าน ✔","ไม่ผ่าน ✘")</f>
        <v>ผ่าน ✔</v>
      </c>
      <c r="F17" s="6"/>
      <c r="G17" s="6"/>
    </row>
    <row r="18" customFormat="false" ht="15" hidden="false" customHeight="false" outlineLevel="0" collapsed="false">
      <c r="B18" s="6" t="s">
        <v>197</v>
      </c>
      <c r="C18" s="6" t="s">
        <v>198</v>
      </c>
      <c r="D18" s="14" t="n">
        <f aca="false">'3 ขนาดบ่อ'!$E$7/'3 ขนาดบ่อ'!$E$14</f>
        <v>0.141183093882566</v>
      </c>
      <c r="E18" s="18" t="str">
        <f aca="false">IF(D18&lt;=0.2,"ผ่าน ✔","ไม่ผ่าน ✘")</f>
        <v>ผ่าน ✔</v>
      </c>
      <c r="F18" s="6"/>
      <c r="G18" s="6"/>
    </row>
    <row r="19" customFormat="false" ht="15" hidden="false" customHeight="false" outlineLevel="0" collapsed="false">
      <c r="B19" s="6" t="s">
        <v>199</v>
      </c>
      <c r="C19" s="6" t="s">
        <v>200</v>
      </c>
      <c r="D19" s="14" t="n">
        <f aca="false">('3 ขนาดบ่อ'!$E$14-'3 ขนาดบ่อ'!$E$11)/2</f>
        <v>0.365</v>
      </c>
      <c r="E19" s="18" t="str">
        <f aca="false">IF(D19&gt;=2*'3 ขนาดบ่อ'!$E$7,"ผ่าน ✔","ไม่ผ่าน ✘")</f>
        <v>ผ่าน ✔</v>
      </c>
      <c r="F19" s="6"/>
      <c r="G19" s="6" t="s">
        <v>201</v>
      </c>
    </row>
    <row r="20" customFormat="false" ht="15" hidden="false" customHeight="false" outlineLevel="0" collapsed="false">
      <c r="B20" s="6" t="s">
        <v>202</v>
      </c>
      <c r="C20" s="6" t="s">
        <v>203</v>
      </c>
      <c r="D20" s="9"/>
      <c r="E20" s="20" t="n">
        <f aca="false">'1 ข้อมูล'!$C$61*(('3 ขนาดบ่อ'!$E$14-'3 ขนาดบ่อ'!$E$11)/4)^2.5*3600</f>
        <v>70.6868712260325</v>
      </c>
      <c r="F20" s="6" t="s">
        <v>11</v>
      </c>
      <c r="G20" s="6" t="s">
        <v>204</v>
      </c>
    </row>
    <row r="21" customFormat="false" ht="15" hidden="false" customHeight="false" outlineLevel="0" collapsed="false">
      <c r="B21" s="6" t="s">
        <v>205</v>
      </c>
      <c r="C21" s="6" t="s">
        <v>206</v>
      </c>
      <c r="D21" s="14" t="n">
        <f aca="false">'3 ขนาดบ่อ'!$E$16/'3 ขนาดบ่อ'!$E$7</f>
        <v>4.53312066197063</v>
      </c>
      <c r="E21" s="18" t="str">
        <f aca="false">IF(AND(D21&gt;=4,D21&lt;=5),"ผ่าน ✔","ไม่ผ่าน ✘")</f>
        <v>ผ่าน ✔</v>
      </c>
      <c r="F21" s="6"/>
      <c r="G21" s="6"/>
    </row>
    <row r="22" customFormat="false" ht="15" hidden="false" customHeight="false" outlineLevel="0" collapsed="false">
      <c r="B22" s="6" t="s">
        <v>207</v>
      </c>
      <c r="C22" s="6" t="s">
        <v>208</v>
      </c>
      <c r="D22" s="14" t="n">
        <f aca="false">'3 ขนาดบ่อ'!$E$10-'3 ขนาดบ่อ'!$E$8</f>
        <v>0.0503343112374122</v>
      </c>
      <c r="E22" s="18" t="str">
        <f aca="false">IF(D22&gt;=0,"ผ่าน ✔","ไม่ผ่าน ✘")</f>
        <v>ผ่าน ✔</v>
      </c>
      <c r="F22" s="6"/>
      <c r="G22" s="6" t="s">
        <v>209</v>
      </c>
    </row>
    <row r="23" customFormat="false" ht="26.85" hidden="false" customHeight="false" outlineLevel="0" collapsed="false">
      <c r="B23" s="6" t="s">
        <v>210</v>
      </c>
      <c r="C23" s="6" t="s">
        <v>211</v>
      </c>
      <c r="D23" s="14"/>
      <c r="E23" s="24" t="n">
        <f aca="false">'3 ขนาดบ่อ'!$E$8/'3 ขนาดบ่อ'!$E$9</f>
        <v>0.419331377525176</v>
      </c>
      <c r="F23" s="6" t="s">
        <v>112</v>
      </c>
      <c r="G23" s="6" t="s">
        <v>212</v>
      </c>
    </row>
    <row r="24" customFormat="false" ht="26.85" hidden="false" customHeight="false" outlineLevel="0" collapsed="false">
      <c r="B24" s="6" t="s">
        <v>213</v>
      </c>
      <c r="C24" s="6" t="s">
        <v>214</v>
      </c>
      <c r="D24" s="14"/>
      <c r="E24" s="24" t="n">
        <f aca="false">10*'3 ขนาดบ่อ'!$E$8</f>
        <v>2.09665688762588</v>
      </c>
      <c r="F24" s="6" t="s">
        <v>21</v>
      </c>
      <c r="G24" s="6" t="s">
        <v>215</v>
      </c>
    </row>
    <row r="25" customFormat="false" ht="15" hidden="false" customHeight="false" outlineLevel="0" collapsed="false">
      <c r="B25" s="6" t="s">
        <v>216</v>
      </c>
      <c r="C25" s="6" t="s">
        <v>217</v>
      </c>
      <c r="D25" s="14" t="n">
        <f aca="false">'2 เวียร์'!$E$10/100</f>
        <v>0.14532869095236</v>
      </c>
      <c r="E25" s="18" t="str">
        <f aca="false">IF(D25&gt;=0.05,"ผ่าน ✔","ไม่ผ่าน ✘")</f>
        <v>ผ่าน ✔</v>
      </c>
      <c r="F25" s="6"/>
      <c r="G25" s="6" t="s">
        <v>218</v>
      </c>
    </row>
    <row r="27" customFormat="false" ht="15" hidden="false" customHeight="false" outlineLevel="0" collapsed="false">
      <c r="B27" s="4" t="s">
        <v>219</v>
      </c>
      <c r="C27" s="5"/>
      <c r="D27" s="5"/>
      <c r="E27" s="5"/>
      <c r="F27" s="5"/>
      <c r="G27" s="5"/>
    </row>
    <row r="28" customFormat="false" ht="15" hidden="false" customHeight="false" outlineLevel="0" collapsed="false">
      <c r="B28" s="6" t="s">
        <v>220</v>
      </c>
      <c r="C28" s="6" t="s">
        <v>221</v>
      </c>
      <c r="D28" s="14"/>
      <c r="E28" s="24" t="n">
        <f aca="false">'1 ข้อมูล'!$C$41/2+('2 เวียร์'!$D$13/('1 ข้อมูล'!$C$65*PI()*'1 ข้อมูล'!$C$41^2/4))^2/(2*'1 ข้อมูล'!$C$59)</f>
        <v>0.210686269183871</v>
      </c>
      <c r="F28" s="6" t="s">
        <v>21</v>
      </c>
      <c r="G28" s="6"/>
    </row>
    <row r="29" customFormat="false" ht="15" hidden="false" customHeight="false" outlineLevel="0" collapsed="false">
      <c r="B29" s="6" t="s">
        <v>222</v>
      </c>
      <c r="C29" s="6" t="s">
        <v>223</v>
      </c>
      <c r="D29" s="14" t="n">
        <f aca="false">'3 ขนาดบ่อ'!$E$9-'3 ขนาดบ่อ'!$E$28</f>
        <v>0.289313730816129</v>
      </c>
      <c r="E29" s="18" t="str">
        <f aca="false">IF(D29&gt;=0.06,"ผ่าน ✔","ไม่ผ่าน ✘")</f>
        <v>ผ่าน ✔</v>
      </c>
      <c r="F29" s="6"/>
      <c r="G29" s="6" t="s">
        <v>224</v>
      </c>
    </row>
    <row r="30" customFormat="false" ht="15" hidden="false" customHeight="false" outlineLevel="0" collapsed="false">
      <c r="B30" s="6" t="s">
        <v>225</v>
      </c>
      <c r="C30" s="6" t="s">
        <v>226</v>
      </c>
      <c r="D30" s="14"/>
      <c r="E30" s="24" t="n">
        <f aca="false">SQRT(2*'1 ข้อมูล'!$C$59*'3 ขนาดบ่อ'!$E$7)</f>
        <v>1.86078353858527</v>
      </c>
      <c r="F30" s="6" t="s">
        <v>40</v>
      </c>
      <c r="G30" s="6"/>
    </row>
    <row r="31" customFormat="false" ht="15" hidden="false" customHeight="false" outlineLevel="0" collapsed="false">
      <c r="B31" s="6" t="s">
        <v>227</v>
      </c>
      <c r="C31" s="6" t="s">
        <v>228</v>
      </c>
      <c r="D31" s="14"/>
      <c r="E31" s="24" t="n">
        <f aca="false">'3 ขนาดบ่อ'!$E$9+'3 ขนาดบ่อ'!$E$7-'3 ขนาดบ่อ'!$E$28</f>
        <v>0.465792598169336</v>
      </c>
      <c r="F31" s="6" t="s">
        <v>21</v>
      </c>
      <c r="G31" s="6"/>
    </row>
    <row r="32" customFormat="false" ht="15" hidden="false" customHeight="false" outlineLevel="0" collapsed="false">
      <c r="B32" s="6" t="s">
        <v>229</v>
      </c>
      <c r="C32" s="6" t="s">
        <v>230</v>
      </c>
      <c r="D32" s="14"/>
      <c r="E32" s="24" t="n">
        <f aca="false">'3 ขนาดบ่อ'!$E$30*SQRT(2*'3 ขนาดบ่อ'!$E$31/'1 ข้อมูล'!$C$59)</f>
        <v>0.573419742061371</v>
      </c>
      <c r="F32" s="6" t="s">
        <v>21</v>
      </c>
      <c r="G32" s="6" t="s">
        <v>231</v>
      </c>
    </row>
    <row r="33" customFormat="false" ht="26.85" hidden="false" customHeight="false" outlineLevel="0" collapsed="false">
      <c r="B33" s="6" t="s">
        <v>232</v>
      </c>
      <c r="C33" s="6" t="s">
        <v>233</v>
      </c>
      <c r="D33" s="14" t="n">
        <f aca="false">'1 ข้อมูล'!$C$40</f>
        <v>0.5</v>
      </c>
      <c r="E33" s="24" t="n">
        <f aca="false">CEILING(ROUND(D33,4),'1 ข้อมูล'!$C$14)</f>
        <v>0.5</v>
      </c>
      <c r="F33" s="6" t="s">
        <v>21</v>
      </c>
      <c r="G33" s="6" t="s">
        <v>234</v>
      </c>
    </row>
    <row r="34" customFormat="false" ht="15" hidden="false" customHeight="false" outlineLevel="0" collapsed="false">
      <c r="B34" s="6" t="s">
        <v>235</v>
      </c>
      <c r="C34" s="6" t="s">
        <v>236</v>
      </c>
      <c r="D34" s="14"/>
      <c r="E34" s="24" t="n">
        <f aca="false">'3 ขนาดบ่อ'!$E$9+'3 ขนาดบ่อ'!$E$7-'1 ข้อมูล'!$C$59/2*('3 ขนาดบ่อ'!$E$33/'3 ขนาดบ่อ'!$E$30)^2</f>
        <v>0.322328815636752</v>
      </c>
      <c r="F34" s="6" t="s">
        <v>21</v>
      </c>
      <c r="G34" s="6"/>
    </row>
    <row r="35" customFormat="false" ht="15" hidden="false" customHeight="false" outlineLevel="0" collapsed="false">
      <c r="B35" s="6" t="s">
        <v>237</v>
      </c>
      <c r="C35" s="6"/>
      <c r="D35" s="14" t="n">
        <f aca="false">'3 ขนาดบ่อ'!$E$34-'3 ขนาดบ่อ'!$E$28</f>
        <v>0.111642546452881</v>
      </c>
      <c r="E35" s="18" t="str">
        <f aca="false">IF(D35&gt;0,"ผ่าน ✔","ไม่ผ่าน ✘")</f>
        <v>ผ่าน ✔</v>
      </c>
      <c r="F35" s="6"/>
      <c r="G35" s="6" t="s">
        <v>238</v>
      </c>
    </row>
    <row r="37" customFormat="false" ht="15" hidden="false" customHeight="false" outlineLevel="0" collapsed="false">
      <c r="B37" s="4" t="s">
        <v>239</v>
      </c>
      <c r="C37" s="5"/>
      <c r="D37" s="5"/>
      <c r="E37" s="5"/>
      <c r="F37" s="5"/>
      <c r="G37" s="5"/>
    </row>
    <row r="38" customFormat="false" ht="15" hidden="false" customHeight="false" outlineLevel="0" collapsed="false">
      <c r="B38" s="6" t="s">
        <v>240</v>
      </c>
      <c r="C38" s="6" t="s">
        <v>241</v>
      </c>
      <c r="D38" s="14"/>
      <c r="E38" s="24" t="n">
        <f aca="false">'3 ขนาดบ่อ'!$E$9+'3 ขนาดบ่อ'!$E$8</f>
        <v>0.709665688762588</v>
      </c>
      <c r="F38" s="6" t="s">
        <v>21</v>
      </c>
      <c r="G38" s="6" t="s">
        <v>242</v>
      </c>
    </row>
    <row r="39" customFormat="false" ht="15" hidden="false" customHeight="false" outlineLevel="0" collapsed="false">
      <c r="B39" s="6" t="s">
        <v>243</v>
      </c>
      <c r="C39" s="6" t="s">
        <v>244</v>
      </c>
      <c r="D39" s="14"/>
      <c r="E39" s="24" t="n">
        <f aca="false">'2 เวียร์'!$D$13/('3 ขนาดบ่อ'!$E$14*'3 ขนาดบ่อ'!$E$38)</f>
        <v>0.0313136489111797</v>
      </c>
      <c r="F39" s="6" t="s">
        <v>40</v>
      </c>
      <c r="G39" s="6"/>
    </row>
    <row r="40" customFormat="false" ht="15" hidden="false" customHeight="false" outlineLevel="0" collapsed="false">
      <c r="B40" s="6" t="s">
        <v>245</v>
      </c>
      <c r="C40" s="6" t="s">
        <v>246</v>
      </c>
      <c r="D40" s="14"/>
      <c r="E40" s="24" t="n">
        <f aca="false">'3 ขนาดบ่อ'!$E$38/'1 ข้อมูล'!$C$39*'3 ขนาดบ่อ'!$E$39</f>
        <v>0.222222222222222</v>
      </c>
      <c r="F40" s="6" t="s">
        <v>21</v>
      </c>
      <c r="G40" s="6"/>
    </row>
    <row r="41" customFormat="false" ht="15" hidden="false" customHeight="false" outlineLevel="0" collapsed="false">
      <c r="B41" s="6" t="s">
        <v>247</v>
      </c>
      <c r="C41" s="6" t="s">
        <v>248</v>
      </c>
      <c r="D41" s="14" t="n">
        <f aca="false">MAX('1 ข้อมูล'!$C$40,'3 ขนาดบ่อ'!$E$40)</f>
        <v>0.5</v>
      </c>
      <c r="E41" s="24" t="n">
        <f aca="false">CEILING(ROUND(D41,4),'1 ข้อมูล'!$C$14)</f>
        <v>0.5</v>
      </c>
      <c r="F41" s="6" t="s">
        <v>21</v>
      </c>
      <c r="G41" s="6" t="s">
        <v>249</v>
      </c>
    </row>
    <row r="42" customFormat="false" ht="15" hidden="false" customHeight="false" outlineLevel="0" collapsed="false">
      <c r="B42" s="6" t="s">
        <v>250</v>
      </c>
      <c r="C42" s="6" t="s">
        <v>251</v>
      </c>
      <c r="D42" s="14" t="n">
        <f aca="false">'2 เวียร์'!$D$12/('3 ขนาดบ่อ'!$E$14*'1 ข้อมูล'!$C$23)</f>
        <v>0.144444444444444</v>
      </c>
      <c r="E42" s="24" t="n">
        <f aca="false">CEILING(ROUND(D42,4),'1 ข้อมูล'!$C$14)</f>
        <v>0.15</v>
      </c>
      <c r="F42" s="6" t="s">
        <v>21</v>
      </c>
      <c r="G42" s="6" t="s">
        <v>252</v>
      </c>
    </row>
    <row r="43" customFormat="false" ht="15" hidden="false" customHeight="false" outlineLevel="0" collapsed="false">
      <c r="B43" s="6" t="s">
        <v>253</v>
      </c>
      <c r="C43" s="6" t="s">
        <v>254</v>
      </c>
      <c r="D43" s="14"/>
      <c r="E43" s="24" t="n">
        <f aca="false">'3 ขนาดบ่อ'!$E$42</f>
        <v>0.15</v>
      </c>
      <c r="F43" s="6" t="s">
        <v>21</v>
      </c>
      <c r="G43" s="6"/>
    </row>
    <row r="44" customFormat="false" ht="15" hidden="false" customHeight="false" outlineLevel="0" collapsed="false">
      <c r="B44" s="6" t="s">
        <v>255</v>
      </c>
      <c r="C44" s="6" t="s">
        <v>256</v>
      </c>
      <c r="D44" s="14" t="n">
        <f aca="false">'3 ขนาดบ่อ'!$E$42+'1 ข้อมูล'!$C$33</f>
        <v>0.25</v>
      </c>
      <c r="E44" s="24" t="n">
        <f aca="false">CEILING(ROUND(D44,4),'1 ข้อมูล'!$C$14)</f>
        <v>0.25</v>
      </c>
      <c r="F44" s="6" t="s">
        <v>21</v>
      </c>
      <c r="G44" s="6" t="s">
        <v>257</v>
      </c>
    </row>
    <row r="45" customFormat="false" ht="15" hidden="false" customHeight="false" outlineLevel="0" collapsed="false">
      <c r="B45" s="6" t="s">
        <v>258</v>
      </c>
      <c r="C45" s="6" t="s">
        <v>259</v>
      </c>
      <c r="D45" s="14"/>
      <c r="E45" s="24" t="n">
        <f aca="false">'3 ขนาดบ่อ'!$E$41-'3 ขนาดบ่อ'!$E$43</f>
        <v>0.35</v>
      </c>
      <c r="F45" s="6" t="s">
        <v>21</v>
      </c>
      <c r="G45" s="6" t="s">
        <v>260</v>
      </c>
    </row>
    <row r="46" customFormat="false" ht="15" hidden="false" customHeight="false" outlineLevel="0" collapsed="false">
      <c r="B46" s="6" t="s">
        <v>261</v>
      </c>
      <c r="C46" s="6"/>
      <c r="D46" s="14" t="n">
        <f aca="false">'3 ขนาดบ่อ'!$E$45-'3 ขนาดบ่อ'!$E$40</f>
        <v>0.127777777777778</v>
      </c>
      <c r="E46" s="18" t="str">
        <f aca="false">IF(D46&gt;=0,"ผ่าน ✔","ไม่ผ่าน ✘")</f>
        <v>ผ่าน ✔</v>
      </c>
      <c r="F46" s="6"/>
      <c r="G46" s="6" t="s">
        <v>262</v>
      </c>
    </row>
    <row r="47" customFormat="false" ht="15" hidden="false" customHeight="false" outlineLevel="0" collapsed="false">
      <c r="B47" s="6" t="s">
        <v>263</v>
      </c>
      <c r="C47" s="6" t="s">
        <v>264</v>
      </c>
      <c r="D47" s="14"/>
      <c r="E47" s="24" t="n">
        <f aca="false">'2 เวียร์'!$D$13/('3 ขนาดบ่อ'!$E$14*('3 ขนาดบ่อ'!$E$38-'3 ขนาดบ่อ'!$E$44))</f>
        <v>0.0483443136294207</v>
      </c>
      <c r="F47" s="6" t="s">
        <v>40</v>
      </c>
      <c r="G47" s="6"/>
    </row>
    <row r="48" customFormat="false" ht="15" hidden="false" customHeight="false" outlineLevel="0" collapsed="false">
      <c r="B48" s="6" t="s">
        <v>265</v>
      </c>
      <c r="C48" s="6"/>
      <c r="D48" s="14" t="n">
        <f aca="false">'3 ขนาดบ่อ'!$E$47</f>
        <v>0.0483443136294207</v>
      </c>
      <c r="E48" s="18" t="str">
        <f aca="false">IF(D48&lt;=0.1,"ผ่าน ✔","ไม่ผ่าน ✘")</f>
        <v>ผ่าน ✔</v>
      </c>
      <c r="F48" s="6"/>
      <c r="G48" s="6"/>
    </row>
    <row r="49" customFormat="false" ht="15" hidden="false" customHeight="false" outlineLevel="0" collapsed="false">
      <c r="B49" s="6" t="s">
        <v>266</v>
      </c>
      <c r="C49" s="6" t="s">
        <v>267</v>
      </c>
      <c r="D49" s="14" t="n">
        <f aca="false">'3 ขนาดบ่อ'!$E$9+'2 เวียร์'!$E$10/100-'3 ขนาดบ่อ'!$E$44</f>
        <v>0.39532869095236</v>
      </c>
      <c r="E49" s="18" t="str">
        <f aca="false">IF(D49&gt;=0.1,"ผ่าน ✔","ไม่ผ่าน ✘")</f>
        <v>ผ่าน ✔</v>
      </c>
      <c r="F49" s="6"/>
      <c r="G49" s="6"/>
    </row>
    <row r="51" customFormat="false" ht="15" hidden="false" customHeight="false" outlineLevel="0" collapsed="false">
      <c r="B51" s="4" t="s">
        <v>268</v>
      </c>
      <c r="C51" s="5"/>
      <c r="D51" s="5"/>
      <c r="E51" s="5"/>
      <c r="F51" s="5"/>
      <c r="G51" s="5"/>
    </row>
    <row r="52" customFormat="false" ht="15" hidden="false" customHeight="false" outlineLevel="0" collapsed="false">
      <c r="B52" s="6" t="s">
        <v>269</v>
      </c>
      <c r="C52" s="6" t="s">
        <v>270</v>
      </c>
      <c r="D52" s="14"/>
      <c r="E52" s="24" t="n">
        <f aca="false">'1 ข้อมูล'!$C$18+('2 เวียร์'!$D$13/('1 ข้อมูล'!$C$64*'3 ขนาดบ่อ'!$E$14))^(2/3)</f>
        <v>0.0726396640370247</v>
      </c>
      <c r="F52" s="6" t="s">
        <v>21</v>
      </c>
      <c r="G52" s="6" t="s">
        <v>271</v>
      </c>
    </row>
    <row r="53" customFormat="false" ht="15" hidden="false" customHeight="false" outlineLevel="0" collapsed="false">
      <c r="B53" s="6" t="s">
        <v>272</v>
      </c>
      <c r="C53" s="6" t="s">
        <v>273</v>
      </c>
      <c r="D53" s="14" t="n">
        <f aca="false">'3 ขนาดบ่อ'!$E$38+'1 ข้อมูล'!$C$17-'1 ข้อมูล'!$C$18</f>
        <v>0.789665688762588</v>
      </c>
      <c r="E53" s="24" t="n">
        <f aca="false">MAX(CEILING(ROUND('3 ขนาดบ่อ'!$E$38+'1 ข้อมูล'!$C$17-'1 ข้อมูล'!$C$18,4),'1 ข้อมูล'!$C$14),'1 ข้อมูล'!$C$20)</f>
        <v>0.9</v>
      </c>
      <c r="F53" s="6" t="s">
        <v>21</v>
      </c>
      <c r="G53" s="6" t="s">
        <v>28</v>
      </c>
    </row>
    <row r="54" customFormat="false" ht="15" hidden="false" customHeight="false" outlineLevel="0" collapsed="false">
      <c r="B54" s="6" t="s">
        <v>274</v>
      </c>
      <c r="C54" s="6" t="s">
        <v>275</v>
      </c>
      <c r="D54" s="14"/>
      <c r="E54" s="24" t="n">
        <f aca="false">'1 ข้อมูล'!$C$19</f>
        <v>0.3</v>
      </c>
      <c r="F54" s="6" t="s">
        <v>21</v>
      </c>
      <c r="G54" s="6" t="s">
        <v>276</v>
      </c>
    </row>
    <row r="55" customFormat="false" ht="15" hidden="false" customHeight="false" outlineLevel="0" collapsed="false">
      <c r="B55" s="6" t="s">
        <v>277</v>
      </c>
      <c r="C55" s="6" t="s">
        <v>278</v>
      </c>
      <c r="D55" s="14"/>
      <c r="E55" s="24" t="n">
        <f aca="false">'3 ขนาดบ่อ'!$E$53+'1 ข้อมูล'!$C$18-('3 ขนาดบ่อ'!$E$9+'3 ขนาดบ่อ'!$E$7)</f>
        <v>0.243521132646792</v>
      </c>
      <c r="F55" s="6" t="s">
        <v>21</v>
      </c>
      <c r="G55" s="6" t="s">
        <v>279</v>
      </c>
    </row>
    <row r="56" customFormat="false" ht="15" hidden="false" customHeight="false" outlineLevel="0" collapsed="false">
      <c r="B56" s="6" t="s">
        <v>280</v>
      </c>
      <c r="C56" s="6" t="s">
        <v>281</v>
      </c>
      <c r="D56" s="14" t="n">
        <f aca="false">'3 ขนาดบ่อ'!$E$53+'1 ข้อมูล'!$C$18-'3 ขนาดบ่อ'!$E$38</f>
        <v>0.210334311237412</v>
      </c>
      <c r="E56" s="18" t="str">
        <f aca="false">IF(D56&gt;=0.1-0.0001,"ผ่าน ✔","ไม่ผ่าน ✘")</f>
        <v>ผ่าน ✔</v>
      </c>
      <c r="F56" s="6"/>
      <c r="G56" s="6"/>
    </row>
    <row r="58" customFormat="false" ht="15" hidden="false" customHeight="false" outlineLevel="0" collapsed="false">
      <c r="B58" s="4" t="s">
        <v>282</v>
      </c>
      <c r="C58" s="5"/>
      <c r="D58" s="5"/>
      <c r="E58" s="5"/>
      <c r="F58" s="5"/>
      <c r="G58" s="5"/>
    </row>
    <row r="59" customFormat="false" ht="15" hidden="false" customHeight="false" outlineLevel="0" collapsed="false">
      <c r="B59" s="6" t="s">
        <v>283</v>
      </c>
      <c r="C59" s="6" t="s">
        <v>284</v>
      </c>
      <c r="D59" s="14" t="n">
        <f aca="false">MAX(0.3,'2 เวียร์'!$D$13/('1 ข้อมูล'!$C$36*'1 ข้อมูล'!$C$23))</f>
        <v>0.3</v>
      </c>
      <c r="E59" s="24" t="n">
        <f aca="false">CEILING(ROUND(D59,4),'1 ข้อมูล'!$C$14)</f>
        <v>0.3</v>
      </c>
      <c r="F59" s="6" t="s">
        <v>21</v>
      </c>
      <c r="G59" s="6" t="s">
        <v>285</v>
      </c>
    </row>
    <row r="60" customFormat="false" ht="15" hidden="false" customHeight="false" outlineLevel="0" collapsed="false">
      <c r="B60" s="6" t="s">
        <v>286</v>
      </c>
      <c r="C60" s="6" t="s">
        <v>287</v>
      </c>
      <c r="D60" s="14"/>
      <c r="E60" s="24" t="n">
        <f aca="false">'2 เวียร์'!$D$13/(PI()*'1 ข้อมูล'!$C$25^2/4)</f>
        <v>1.49130397754817</v>
      </c>
      <c r="F60" s="6" t="s">
        <v>40</v>
      </c>
      <c r="G60" s="6"/>
    </row>
    <row r="61" customFormat="false" ht="15" hidden="false" customHeight="false" outlineLevel="0" collapsed="false">
      <c r="B61" s="6" t="s">
        <v>288</v>
      </c>
      <c r="C61" s="6" t="s">
        <v>289</v>
      </c>
      <c r="D61" s="14"/>
      <c r="E61" s="24" t="n">
        <f aca="false">'3 ขนาดบ่อ'!$E$60*SQRT(2*('1 ข้อมูล'!$C$24-('1 ข้อมูล'!$C$35+0.6))/'1 ข้อมูล'!$C$59)</f>
        <v>0.877952724766491</v>
      </c>
      <c r="F61" s="6" t="s">
        <v>21</v>
      </c>
      <c r="G61" s="6" t="s">
        <v>290</v>
      </c>
    </row>
    <row r="62" customFormat="false" ht="15" hidden="false" customHeight="false" outlineLevel="0" collapsed="false">
      <c r="B62" s="6" t="s">
        <v>291</v>
      </c>
      <c r="C62" s="6" t="s">
        <v>292</v>
      </c>
      <c r="D62" s="14"/>
      <c r="E62" s="24" t="n">
        <f aca="false">'3 ขนาดบ่อ'!$E$60*SQRT(2*('1 ข้อมูล'!$C$24-'1 ข้อมูล'!$C$35)/'1 ข้อมูล'!$C$59)</f>
        <v>1.02119948789395</v>
      </c>
      <c r="F62" s="6" t="s">
        <v>21</v>
      </c>
      <c r="G62" s="6" t="s">
        <v>293</v>
      </c>
    </row>
    <row r="63" customFormat="false" ht="15" hidden="false" customHeight="false" outlineLevel="0" collapsed="false">
      <c r="B63" s="6" t="s">
        <v>294</v>
      </c>
      <c r="C63" s="6" t="s">
        <v>295</v>
      </c>
      <c r="D63" s="14" t="n">
        <f aca="false">MAX('3 ขนาดบ่อ'!$E$61,'1 ข้อมูล'!$C$26)</f>
        <v>1</v>
      </c>
      <c r="E63" s="24" t="n">
        <f aca="false">CEILING(ROUND(D63,4),'1 ข้อมูล'!$C$14)</f>
        <v>1</v>
      </c>
      <c r="F63" s="6" t="s">
        <v>21</v>
      </c>
      <c r="G63" s="6" t="s">
        <v>296</v>
      </c>
    </row>
    <row r="64" customFormat="false" ht="15" hidden="false" customHeight="false" outlineLevel="0" collapsed="false">
      <c r="B64" s="6" t="s">
        <v>297</v>
      </c>
      <c r="C64" s="6" t="s">
        <v>298</v>
      </c>
      <c r="D64" s="14"/>
      <c r="E64" s="24" t="n">
        <f aca="false">'1 ข้อมูล'!$C$30</f>
        <v>0.1</v>
      </c>
      <c r="F64" s="6" t="s">
        <v>21</v>
      </c>
      <c r="G64" s="6"/>
    </row>
    <row r="65" customFormat="false" ht="15" hidden="false" customHeight="false" outlineLevel="0" collapsed="false">
      <c r="B65" s="6" t="s">
        <v>299</v>
      </c>
      <c r="C65" s="6" t="s">
        <v>300</v>
      </c>
      <c r="D65" s="14" t="n">
        <f aca="false">'1 ข้อมูล'!$C$31+2*'1 ข้อมูล'!$C$32</f>
        <v>1</v>
      </c>
      <c r="E65" s="24" t="n">
        <f aca="false">CEILING(ROUND(D65,4),'1 ข้อมูล'!$C$14)</f>
        <v>1</v>
      </c>
      <c r="F65" s="6" t="s">
        <v>21</v>
      </c>
      <c r="G65" s="6"/>
    </row>
    <row r="66" customFormat="false" ht="15" hidden="false" customHeight="false" outlineLevel="0" collapsed="false">
      <c r="B66" s="6" t="s">
        <v>301</v>
      </c>
      <c r="C66" s="6" t="s">
        <v>302</v>
      </c>
      <c r="D66" s="14"/>
      <c r="E66" s="24" t="n">
        <f aca="false">'3 ขนาดบ่อ'!$E$63+'3 ขนาดบ่อ'!$E$64+'3 ขนาดบ่อ'!$E$65</f>
        <v>2.1</v>
      </c>
      <c r="F66" s="6" t="s">
        <v>21</v>
      </c>
      <c r="G66" s="6"/>
    </row>
    <row r="67" customFormat="false" ht="15" hidden="false" customHeight="false" outlineLevel="0" collapsed="false">
      <c r="B67" s="6" t="s">
        <v>303</v>
      </c>
      <c r="C67" s="6" t="s">
        <v>304</v>
      </c>
      <c r="D67" s="14"/>
      <c r="E67" s="24" t="n">
        <f aca="false">'1 ข้อมูล'!$C$18+(('1 ข้อมูล'!$C$11-'1 ข้อมูล'!$C$9)/3600/('1 ข้อมูล'!$C$64*'3 ขนาดบ่อ'!$E$14))^(2/3)</f>
        <v>0.0543840231797949</v>
      </c>
      <c r="F67" s="6" t="s">
        <v>21</v>
      </c>
      <c r="G67" s="6" t="s">
        <v>305</v>
      </c>
    </row>
    <row r="68" customFormat="false" ht="15" hidden="false" customHeight="false" outlineLevel="0" collapsed="false">
      <c r="B68" s="6" t="s">
        <v>306</v>
      </c>
      <c r="C68" s="6" t="s">
        <v>307</v>
      </c>
      <c r="D68" s="14"/>
      <c r="E68" s="24" t="n">
        <f aca="false">'3 ขนาดบ่อ'!$E$53+'3 ขนาดบ่อ'!$E$67+1.5*(('1 ข้อมูล'!$C$11-'1 ข้อมูล'!$C$9)/3600/('3 ขนาดบ่อ'!$E$14*'3 ขนาดบ่อ'!$E$67))^2/(2*'1 ข้อมูล'!$C$59)</f>
        <v>0.957941608382971</v>
      </c>
      <c r="F68" s="6" t="s">
        <v>21</v>
      </c>
      <c r="G68" s="6"/>
    </row>
    <row r="69" customFormat="false" ht="15" hidden="false" customHeight="false" outlineLevel="0" collapsed="false">
      <c r="B69" s="6" t="s">
        <v>308</v>
      </c>
      <c r="C69" s="6" t="s">
        <v>309</v>
      </c>
      <c r="D69" s="14"/>
      <c r="E69" s="24" t="n">
        <f aca="false">'1 ข้อมูล'!$C$11*'1 ข้อมูล'!$C$34/60+'1 ข้อมูล'!$C$37</f>
        <v>15.7879166666667</v>
      </c>
      <c r="F69" s="6" t="s">
        <v>71</v>
      </c>
      <c r="G69" s="6"/>
    </row>
    <row r="70" customFormat="false" ht="15" hidden="false" customHeight="false" outlineLevel="0" collapsed="false">
      <c r="B70" s="6" t="s">
        <v>310</v>
      </c>
      <c r="C70" s="6" t="s">
        <v>311</v>
      </c>
      <c r="D70" s="14" t="n">
        <f aca="false">'3 ขนาดบ่อ'!$E$69/('1 ข้อมูล'!$C$36*('3 ขนาดบ่อ'!$E$68-'1 ข้อมูล'!$C$35))</f>
        <v>2.0903407746577</v>
      </c>
      <c r="E70" s="24" t="n">
        <f aca="false">CEILING(ROUND(D70,4),'1 ข้อมูล'!$C$14)</f>
        <v>2.1</v>
      </c>
      <c r="F70" s="6" t="s">
        <v>21</v>
      </c>
      <c r="G70" s="6"/>
    </row>
    <row r="71" customFormat="false" ht="15" hidden="false" customHeight="false" outlineLevel="0" collapsed="false">
      <c r="B71" s="6" t="s">
        <v>312</v>
      </c>
      <c r="C71" s="6" t="s">
        <v>313</v>
      </c>
      <c r="D71" s="14"/>
      <c r="E71" s="24" t="n">
        <f aca="false">MAX('3 ขนาดบ่อ'!$E$66,'3 ขนาดบ่อ'!$E$70)</f>
        <v>2.1</v>
      </c>
      <c r="F71" s="6" t="s">
        <v>21</v>
      </c>
      <c r="G71" s="6"/>
    </row>
    <row r="72" customFormat="false" ht="15" hidden="false" customHeight="false" outlineLevel="0" collapsed="false">
      <c r="B72" s="6" t="s">
        <v>314</v>
      </c>
      <c r="C72" s="6" t="s">
        <v>315</v>
      </c>
      <c r="D72" s="14"/>
      <c r="E72" s="24" t="n">
        <f aca="false">'3 ขนาดบ่อ'!$E$63+'3 ขนาดบ่อ'!$E$64+'1 ข้อมูล'!$C$32+'1 ข้อมูล'!$C$31/2</f>
        <v>1.6</v>
      </c>
      <c r="F72" s="6" t="s">
        <v>21</v>
      </c>
      <c r="G72" s="6"/>
    </row>
    <row r="73" customFormat="false" ht="15" hidden="false" customHeight="false" outlineLevel="0" collapsed="false">
      <c r="B73" s="6" t="s">
        <v>316</v>
      </c>
      <c r="C73" s="6" t="s">
        <v>317</v>
      </c>
      <c r="D73" s="9"/>
      <c r="E73" s="20" t="n">
        <f aca="false">('3 ขนาดบ่อ'!$E$71*'1 ข้อมูล'!$C$36*('3 ขนาดบ่อ'!$E$68-'1 ข้อมูล'!$C$35)-'1 ข้อมูล'!$C$37)/'1 ข้อมูล'!$C$11*60</f>
        <v>15.0697106722796</v>
      </c>
      <c r="F73" s="6" t="s">
        <v>64</v>
      </c>
      <c r="G73" s="6"/>
    </row>
    <row r="74" customFormat="false" ht="15" hidden="false" customHeight="false" outlineLevel="0" collapsed="false">
      <c r="B74" s="6" t="s">
        <v>318</v>
      </c>
      <c r="C74" s="6"/>
      <c r="D74" s="14" t="n">
        <f aca="false">'3 ขนาดบ่อ'!$E$73</f>
        <v>15.0697106722796</v>
      </c>
      <c r="E74" s="18" t="str">
        <f aca="false">IF(D74&gt;='1 ข้อมูล'!$C$34,"ผ่าน ✔","ไม่ผ่าน ✘")</f>
        <v>ผ่าน ✔</v>
      </c>
      <c r="F74" s="6"/>
      <c r="G74" s="6"/>
    </row>
    <row r="75" customFormat="false" ht="15" hidden="false" customHeight="false" outlineLevel="0" collapsed="false">
      <c r="B75" s="6" t="s">
        <v>319</v>
      </c>
      <c r="C75" s="6"/>
      <c r="D75" s="9"/>
      <c r="E75" s="20" t="n">
        <f aca="false">('3 ขนาดบ่อ'!$E$71*'1 ข้อมูล'!$C$36*('3 ขนาดบ่อ'!$E$68-'1 ข้อมูล'!$C$35)-'1 ข้อมูล'!$C$37)/'1 ข้อมูล'!$C$8*60</f>
        <v>9.4625224929689</v>
      </c>
      <c r="F75" s="6" t="s">
        <v>64</v>
      </c>
      <c r="G75" s="6" t="s">
        <v>320</v>
      </c>
    </row>
    <row r="76" customFormat="false" ht="15" hidden="false" customHeight="false" outlineLevel="0" collapsed="false">
      <c r="B76" s="6" t="s">
        <v>321</v>
      </c>
      <c r="C76" s="6" t="s">
        <v>322</v>
      </c>
      <c r="D76" s="14"/>
      <c r="E76" s="24" t="n">
        <f aca="false">'2 เวียร์'!$D$13/('3 ขนาดบ่อ'!$E$14*'3 ขนาดบ่อ'!$E$52)</f>
        <v>0.305924077662246</v>
      </c>
      <c r="F76" s="6" t="s">
        <v>40</v>
      </c>
      <c r="G76" s="6"/>
    </row>
    <row r="77" customFormat="false" ht="15" hidden="false" customHeight="false" outlineLevel="0" collapsed="false">
      <c r="B77" s="6" t="s">
        <v>323</v>
      </c>
      <c r="C77" s="6" t="s">
        <v>307</v>
      </c>
      <c r="D77" s="14"/>
      <c r="E77" s="24" t="n">
        <f aca="false">'3 ขนาดบ่อ'!$E$53+'3 ขนาดบ่อ'!$E$52+1.5*'3 ขนาดบ่อ'!$E$76^2/(2*'1 ข้อมูล'!$C$59)</f>
        <v>0.979794827744479</v>
      </c>
      <c r="F77" s="6" t="s">
        <v>21</v>
      </c>
      <c r="G77" s="6" t="s">
        <v>324</v>
      </c>
    </row>
    <row r="79" customFormat="false" ht="15" hidden="false" customHeight="false" outlineLevel="0" collapsed="false">
      <c r="B79" s="4" t="s">
        <v>325</v>
      </c>
      <c r="C79" s="5"/>
      <c r="D79" s="5"/>
      <c r="E79" s="5"/>
      <c r="F79" s="5"/>
      <c r="G79" s="5"/>
    </row>
    <row r="80" customFormat="false" ht="15" hidden="false" customHeight="false" outlineLevel="0" collapsed="false">
      <c r="B80" s="6" t="s">
        <v>326</v>
      </c>
      <c r="C80" s="6" t="s">
        <v>327</v>
      </c>
      <c r="D80" s="14"/>
      <c r="E80" s="24" t="n">
        <f aca="false">'1 ข้อมูล'!$C$27*100*PI()*'1 ข้อมูล'!$C$25^2/4</f>
        <v>5.58795085294017</v>
      </c>
      <c r="F80" s="6" t="s">
        <v>328</v>
      </c>
      <c r="G80" s="6" t="s">
        <v>329</v>
      </c>
    </row>
    <row r="81" customFormat="false" ht="15" hidden="false" customHeight="false" outlineLevel="0" collapsed="false">
      <c r="B81" s="6" t="s">
        <v>330</v>
      </c>
      <c r="C81" s="6" t="s">
        <v>331</v>
      </c>
      <c r="D81" s="14"/>
      <c r="E81" s="24" t="n">
        <f aca="false">'1 ข้อมูล'!$C$68*'3 ขนาดบ่อ'!$E$80</f>
        <v>9.49951644999828</v>
      </c>
      <c r="F81" s="6" t="s">
        <v>328</v>
      </c>
      <c r="G81" s="6"/>
    </row>
    <row r="82" customFormat="false" ht="15" hidden="false" customHeight="false" outlineLevel="0" collapsed="false">
      <c r="B82" s="6" t="s">
        <v>332</v>
      </c>
      <c r="C82" s="6" t="s">
        <v>333</v>
      </c>
      <c r="D82" s="14"/>
      <c r="E82" s="24" t="n">
        <f aca="false">'3 ขนาดบ่อ'!$E$81*'1 ข้อมูล'!$C$36/4</f>
        <v>8.3120768937485</v>
      </c>
      <c r="F82" s="6" t="s">
        <v>334</v>
      </c>
      <c r="G82" s="6" t="s">
        <v>335</v>
      </c>
    </row>
    <row r="83" customFormat="false" ht="15" hidden="false" customHeight="false" outlineLevel="0" collapsed="false">
      <c r="B83" s="6" t="s">
        <v>336</v>
      </c>
      <c r="C83" s="6" t="s">
        <v>337</v>
      </c>
      <c r="D83" s="14"/>
      <c r="E83" s="24" t="n">
        <f aca="false">'1 ข้อมูล'!$C$30/2</f>
        <v>0.05</v>
      </c>
      <c r="F83" s="6" t="s">
        <v>21</v>
      </c>
      <c r="G83" s="6"/>
    </row>
    <row r="84" customFormat="false" ht="15" hidden="false" customHeight="false" outlineLevel="0" collapsed="false">
      <c r="B84" s="6" t="s">
        <v>338</v>
      </c>
      <c r="C84" s="6" t="s">
        <v>339</v>
      </c>
      <c r="D84" s="14"/>
      <c r="E84" s="24" t="n">
        <f aca="false">78.5/'1 ข้อมูล'!$C$29</f>
        <v>523.333333333333</v>
      </c>
      <c r="F84" s="6" t="s">
        <v>340</v>
      </c>
      <c r="G84" s="6"/>
    </row>
    <row r="85" customFormat="false" ht="15" hidden="false" customHeight="false" outlineLevel="0" collapsed="false">
      <c r="B85" s="6" t="s">
        <v>341</v>
      </c>
      <c r="C85" s="6" t="s">
        <v>342</v>
      </c>
      <c r="D85" s="14"/>
      <c r="E85" s="24" t="n">
        <f aca="false">'3 ขนาดบ่อ'!$E$84*'1 ข้อมูล'!$C$67/(0.85*'1 ข้อมูล'!$C$28*1000)</f>
        <v>10.2614379084967</v>
      </c>
      <c r="F85" s="6" t="s">
        <v>343</v>
      </c>
      <c r="G85" s="6"/>
    </row>
    <row r="86" customFormat="false" ht="15" hidden="false" customHeight="false" outlineLevel="0" collapsed="false">
      <c r="B86" s="6" t="s">
        <v>344</v>
      </c>
      <c r="C86" s="6" t="s">
        <v>345</v>
      </c>
      <c r="D86" s="14"/>
      <c r="E86" s="24" t="n">
        <f aca="false">0.9*'3 ขนาดบ่อ'!$E$84*'1 ข้อมูล'!$C$67*('3 ขนาดบ่อ'!$E$83*1000-'3 ขนาดบ่อ'!$E$85/2)/1000000</f>
        <v>8.45337254901961</v>
      </c>
      <c r="F86" s="6" t="s">
        <v>334</v>
      </c>
      <c r="G86" s="6"/>
    </row>
    <row r="87" customFormat="false" ht="15" hidden="false" customHeight="false" outlineLevel="0" collapsed="false">
      <c r="B87" s="6" t="s">
        <v>346</v>
      </c>
      <c r="C87" s="6"/>
      <c r="D87" s="14" t="n">
        <f aca="false">'3 ขนาดบ่อ'!$E$86-'3 ขนาดบ่อ'!$E$82</f>
        <v>0.141295655271113</v>
      </c>
      <c r="E87" s="18" t="str">
        <f aca="false">IF(D87&gt;=0,"ผ่าน ✔","ไม่ผ่าน ✘")</f>
        <v>ผ่าน ✔</v>
      </c>
      <c r="F87" s="6"/>
      <c r="G87" s="6" t="s">
        <v>347</v>
      </c>
    </row>
    <row r="88" customFormat="false" ht="15" hidden="false" customHeight="false" outlineLevel="0" collapsed="false">
      <c r="B88" s="6" t="s">
        <v>348</v>
      </c>
      <c r="C88" s="6" t="s">
        <v>349</v>
      </c>
      <c r="D88" s="14"/>
      <c r="E88" s="24" t="n">
        <f aca="false">0.75*0.33*SQRT('1 ข้อมูล'!$C$28)*4*('1 ข้อมูล'!$C$25*1000+'3 ขนาดบ่อ'!$E$83*1000)*'3 ขนาดบ่อ'!$E$83*1000/1000</f>
        <v>49.4698948452491</v>
      </c>
      <c r="F88" s="6" t="s">
        <v>328</v>
      </c>
      <c r="G88" s="6" t="s">
        <v>350</v>
      </c>
    </row>
    <row r="89" customFormat="false" ht="15" hidden="false" customHeight="false" outlineLevel="0" collapsed="false">
      <c r="B89" s="6" t="s">
        <v>351</v>
      </c>
      <c r="C89" s="6"/>
      <c r="D89" s="14" t="n">
        <f aca="false">'3 ขนาดบ่อ'!$E$88-'3 ขนาดบ่อ'!$E$81</f>
        <v>39.9703783952508</v>
      </c>
      <c r="E89" s="18" t="str">
        <f aca="false">IF(D89&gt;=0,"ผ่าน ✔","ไม่ผ่าน ✘")</f>
        <v>ผ่าน ✔</v>
      </c>
      <c r="F89" s="6"/>
      <c r="G89" s="6"/>
    </row>
    <row r="91" customFormat="false" ht="15" hidden="false" customHeight="false" outlineLevel="0" collapsed="false">
      <c r="B91" s="4" t="s">
        <v>352</v>
      </c>
      <c r="C91" s="5"/>
      <c r="D91" s="5"/>
      <c r="E91" s="5"/>
      <c r="F91" s="5"/>
      <c r="G91" s="5"/>
    </row>
    <row r="92" customFormat="false" ht="15" hidden="false" customHeight="false" outlineLevel="0" collapsed="false">
      <c r="B92" s="6" t="s">
        <v>353</v>
      </c>
      <c r="C92" s="6" t="s">
        <v>354</v>
      </c>
      <c r="D92" s="14" t="n">
        <f aca="false">'3 ขนาดบ่อ'!$E$77+'1 ข้อมูล'!$C$22</f>
        <v>1.17979482774448</v>
      </c>
      <c r="E92" s="24" t="n">
        <f aca="false">CEILING(ROUND(D92,4),'1 ข้อมูล'!$C$14)</f>
        <v>1.2</v>
      </c>
      <c r="F92" s="6" t="s">
        <v>21</v>
      </c>
      <c r="G92" s="6" t="s">
        <v>355</v>
      </c>
    </row>
    <row r="94" customFormat="false" ht="15" hidden="false" customHeight="false" outlineLevel="0" collapsed="false">
      <c r="B94" s="4" t="s">
        <v>356</v>
      </c>
      <c r="C94" s="5"/>
      <c r="D94" s="5"/>
      <c r="E94" s="5"/>
      <c r="F94" s="5"/>
      <c r="G94" s="5"/>
    </row>
    <row r="95" customFormat="false" ht="15" hidden="false" customHeight="false" outlineLevel="0" collapsed="false">
      <c r="B95" s="6" t="s">
        <v>357</v>
      </c>
      <c r="C95" s="6" t="s">
        <v>358</v>
      </c>
      <c r="D95" s="14"/>
      <c r="E95" s="24" t="n">
        <f aca="false">'3 ขนาดบ่อ'!$E$9-'1 ข้อมูล'!$C$42</f>
        <v>0.4</v>
      </c>
      <c r="F95" s="6" t="s">
        <v>21</v>
      </c>
      <c r="G95" s="6" t="s">
        <v>359</v>
      </c>
    </row>
    <row r="96" customFormat="false" ht="15" hidden="false" customHeight="false" outlineLevel="0" collapsed="false">
      <c r="B96" s="6" t="s">
        <v>360</v>
      </c>
      <c r="C96" s="6" t="s">
        <v>361</v>
      </c>
      <c r="D96" s="14"/>
      <c r="E96" s="24" t="n">
        <f aca="false">'3 ขนาดบ่อ'!$E$14+2*'1 ข้อมูล'!$C$45</f>
        <v>1.45</v>
      </c>
      <c r="F96" s="6" t="s">
        <v>21</v>
      </c>
      <c r="G96" s="6"/>
    </row>
    <row r="97" customFormat="false" ht="15" hidden="false" customHeight="false" outlineLevel="0" collapsed="false">
      <c r="B97" s="6" t="s">
        <v>362</v>
      </c>
      <c r="C97" s="6" t="s">
        <v>363</v>
      </c>
      <c r="D97" s="14"/>
      <c r="E97" s="24" t="n">
        <f aca="false">'3 ขนาดบ่อ'!$E$95-'1 ข้อมูล'!$C$43</f>
        <v>0.3</v>
      </c>
      <c r="F97" s="6" t="s">
        <v>21</v>
      </c>
      <c r="G97" s="6" t="s">
        <v>364</v>
      </c>
    </row>
    <row r="98" customFormat="false" ht="15" hidden="false" customHeight="false" outlineLevel="0" collapsed="false">
      <c r="B98" s="6" t="s">
        <v>365</v>
      </c>
      <c r="C98" s="6" t="s">
        <v>366</v>
      </c>
      <c r="D98" s="14"/>
      <c r="E98" s="24" t="n">
        <f aca="false">'3 ขนาดบ่อ'!$E$9+'3 ขนาดบ่อ'!$E$10+'1 ข้อมูล'!$C$44</f>
        <v>0.86</v>
      </c>
      <c r="F98" s="6" t="s">
        <v>21</v>
      </c>
      <c r="G98" s="6"/>
    </row>
    <row r="99" customFormat="false" ht="15" hidden="false" customHeight="false" outlineLevel="0" collapsed="false">
      <c r="B99" s="6" t="s">
        <v>367</v>
      </c>
      <c r="C99" s="6" t="s">
        <v>368</v>
      </c>
      <c r="D99" s="14"/>
      <c r="E99" s="24" t="n">
        <f aca="false">'3 ขนาดบ่อ'!$E$98-'3 ขนาดบ่อ'!$E$97</f>
        <v>0.56</v>
      </c>
      <c r="F99" s="6" t="s">
        <v>21</v>
      </c>
      <c r="G99" s="6"/>
    </row>
    <row r="100" customFormat="false" ht="15" hidden="false" customHeight="false" outlineLevel="0" collapsed="false">
      <c r="B100" s="6" t="s">
        <v>369</v>
      </c>
      <c r="C100" s="6" t="s">
        <v>370</v>
      </c>
      <c r="D100" s="14"/>
      <c r="E100" s="24" t="n">
        <f aca="false">'3 ขนาดบ่อ'!$E$38-'3 ขนาดบ่อ'!$E$95</f>
        <v>0.309665688762588</v>
      </c>
      <c r="F100" s="6" t="s">
        <v>21</v>
      </c>
      <c r="G100" s="6"/>
    </row>
    <row r="101" customFormat="false" ht="15" hidden="false" customHeight="false" outlineLevel="0" collapsed="false">
      <c r="B101" s="6" t="s">
        <v>371</v>
      </c>
      <c r="C101" s="6" t="s">
        <v>372</v>
      </c>
      <c r="D101" s="14"/>
      <c r="E101" s="24" t="n">
        <f aca="false">'1 ข้อมูล'!$C$60*'3 ขนาดบ่อ'!$E$100^3/6</f>
        <v>0.0485508704265308</v>
      </c>
      <c r="F101" s="6" t="s">
        <v>373</v>
      </c>
      <c r="G101" s="6" t="s">
        <v>374</v>
      </c>
    </row>
    <row r="102" customFormat="false" ht="15" hidden="false" customHeight="false" outlineLevel="0" collapsed="false">
      <c r="B102" s="6" t="s">
        <v>375</v>
      </c>
      <c r="C102" s="6" t="s">
        <v>376</v>
      </c>
      <c r="D102" s="14"/>
      <c r="E102" s="24" t="n">
        <f aca="false">'3 ขนาดบ่อ'!$E$101/('1 ข้อมูล'!$C$46^2/6)/1000</f>
        <v>8.09181173775513</v>
      </c>
      <c r="F102" s="6" t="s">
        <v>52</v>
      </c>
      <c r="G102" s="6"/>
    </row>
    <row r="103" customFormat="false" ht="15" hidden="false" customHeight="false" outlineLevel="0" collapsed="false">
      <c r="B103" s="6" t="s">
        <v>377</v>
      </c>
      <c r="C103" s="6" t="s">
        <v>378</v>
      </c>
      <c r="D103" s="14" t="n">
        <f aca="false">'3 ขนาดบ่อ'!$E$102</f>
        <v>8.09181173775513</v>
      </c>
      <c r="E103" s="18" t="str">
        <f aca="false">IF(D103&lt;=0.6*'1 ข้อมูล'!$C$66,"ผ่าน ✔","ไม่ผ่าน ✘")</f>
        <v>ผ่าน ✔</v>
      </c>
      <c r="F103" s="6"/>
      <c r="G103" s="6" t="s">
        <v>379</v>
      </c>
    </row>
    <row r="105" customFormat="false" ht="15" hidden="false" customHeight="false" outlineLevel="0" collapsed="false">
      <c r="B105" s="4" t="s">
        <v>380</v>
      </c>
      <c r="C105" s="5"/>
      <c r="D105" s="5"/>
      <c r="E105" s="5"/>
      <c r="F105" s="5"/>
      <c r="G105" s="5"/>
    </row>
    <row r="106" customFormat="false" ht="15" hidden="false" customHeight="false" outlineLevel="0" collapsed="false">
      <c r="B106" s="6" t="s">
        <v>381</v>
      </c>
      <c r="C106" s="6" t="s">
        <v>382</v>
      </c>
      <c r="D106" s="14"/>
      <c r="E106" s="24" t="n">
        <f aca="false">'1 ข้อมูล'!$C$60*'3 ขนาดบ่อ'!$E$92^3/6</f>
        <v>2.82528</v>
      </c>
      <c r="F106" s="6" t="s">
        <v>373</v>
      </c>
      <c r="G106" s="6" t="s">
        <v>383</v>
      </c>
    </row>
    <row r="107" customFormat="false" ht="15" hidden="false" customHeight="false" outlineLevel="0" collapsed="false">
      <c r="B107" s="6" t="s">
        <v>384</v>
      </c>
      <c r="C107" s="6" t="s">
        <v>331</v>
      </c>
      <c r="D107" s="14"/>
      <c r="E107" s="24" t="n">
        <f aca="false">'1 ข้อมูล'!$C$68*'3 ขนาดบ่อ'!$E$106</f>
        <v>4.802976</v>
      </c>
      <c r="F107" s="6" t="s">
        <v>373</v>
      </c>
      <c r="G107" s="6"/>
    </row>
    <row r="108" customFormat="false" ht="15" hidden="false" customHeight="false" outlineLevel="0" collapsed="false">
      <c r="B108" s="6" t="s">
        <v>336</v>
      </c>
      <c r="C108" s="6" t="s">
        <v>385</v>
      </c>
      <c r="D108" s="14"/>
      <c r="E108" s="24" t="n">
        <f aca="false">'1 ข้อมูล'!$C$54-'1 ข้อมูล'!$C$56-0.006</f>
        <v>0.144</v>
      </c>
      <c r="F108" s="6" t="s">
        <v>21</v>
      </c>
      <c r="G108" s="6" t="s">
        <v>386</v>
      </c>
    </row>
    <row r="109" customFormat="false" ht="15" hidden="false" customHeight="false" outlineLevel="0" collapsed="false">
      <c r="B109" s="6" t="s">
        <v>387</v>
      </c>
      <c r="C109" s="6" t="s">
        <v>388</v>
      </c>
      <c r="D109" s="14"/>
      <c r="E109" s="24" t="n">
        <f aca="false">'3 ขนาดบ่อ'!$E$107/(0.9*'1 ข้อมูล'!$C$67*1000*0.9*'3 ขนาดบ่อ'!$E$108)*1000000</f>
        <v>102.944444444444</v>
      </c>
      <c r="F109" s="6" t="s">
        <v>340</v>
      </c>
      <c r="G109" s="6"/>
    </row>
    <row r="110" customFormat="false" ht="15" hidden="false" customHeight="false" outlineLevel="0" collapsed="false">
      <c r="B110" s="6" t="s">
        <v>389</v>
      </c>
      <c r="C110" s="6" t="s">
        <v>390</v>
      </c>
      <c r="D110" s="14"/>
      <c r="E110" s="24" t="n">
        <f aca="false">0.003*1000*'1 ข้อมูล'!$C$54*1000</f>
        <v>600</v>
      </c>
      <c r="F110" s="6" t="s">
        <v>340</v>
      </c>
      <c r="G110" s="6" t="s">
        <v>391</v>
      </c>
    </row>
    <row r="111" customFormat="false" ht="15" hidden="false" customHeight="false" outlineLevel="0" collapsed="false">
      <c r="B111" s="6" t="s">
        <v>392</v>
      </c>
      <c r="C111" s="6" t="s">
        <v>393</v>
      </c>
      <c r="D111" s="14"/>
      <c r="E111" s="24" t="n">
        <f aca="false">FLOOR(113/MAX('3 ขนาดบ่อ'!$E$109,'3 ขนาดบ่อ'!$E$110)*1000,25)</f>
        <v>175</v>
      </c>
      <c r="F111" s="6" t="s">
        <v>343</v>
      </c>
      <c r="G111" s="6"/>
    </row>
    <row r="112" customFormat="false" ht="15" hidden="false" customHeight="false" outlineLevel="0" collapsed="false">
      <c r="B112" s="6" t="s">
        <v>394</v>
      </c>
      <c r="C112" s="6"/>
      <c r="D112" s="14" t="n">
        <f aca="false">'3 ขนาดบ่อ'!$E$111</f>
        <v>175</v>
      </c>
      <c r="E112" s="18" t="str">
        <f aca="false">IF(D112&gt;=100,"ผ่าน ✔","ไม่ผ่าน ✘")</f>
        <v>ผ่าน ✔</v>
      </c>
      <c r="F112" s="6"/>
      <c r="G112" s="6" t="s">
        <v>395</v>
      </c>
    </row>
    <row r="113" customFormat="false" ht="15" hidden="false" customHeight="false" outlineLevel="0" collapsed="false">
      <c r="B113" s="6" t="s">
        <v>396</v>
      </c>
      <c r="C113" s="6" t="s">
        <v>397</v>
      </c>
      <c r="D113" s="14"/>
      <c r="E113" s="24" t="n">
        <f aca="false">'3 ขนาดบ่อ'!$E$92-'1 ข้อมูล'!$C$35</f>
        <v>2.4</v>
      </c>
      <c r="F113" s="6" t="s">
        <v>21</v>
      </c>
      <c r="G113" s="6"/>
    </row>
    <row r="114" customFormat="false" ht="15" hidden="false" customHeight="false" outlineLevel="0" collapsed="false">
      <c r="B114" s="6" t="s">
        <v>398</v>
      </c>
      <c r="C114" s="6" t="s">
        <v>399</v>
      </c>
      <c r="D114" s="14"/>
      <c r="E114" s="24" t="n">
        <f aca="false">'1 ข้อมูล'!$C$68*'1 ข้อมูล'!$C$60*'3 ขนาดบ่อ'!$E$113^3/6</f>
        <v>38.423808</v>
      </c>
      <c r="F114" s="6" t="s">
        <v>373</v>
      </c>
      <c r="G114" s="6"/>
    </row>
    <row r="115" customFormat="false" ht="15" hidden="false" customHeight="false" outlineLevel="0" collapsed="false">
      <c r="B115" s="6" t="s">
        <v>400</v>
      </c>
      <c r="C115" s="6" t="s">
        <v>388</v>
      </c>
      <c r="D115" s="14"/>
      <c r="E115" s="24" t="n">
        <f aca="false">'3 ขนาดบ่อ'!$E$114/(0.9*'1 ข้อมูล'!$C$67*1000*0.9*'3 ขนาดบ่อ'!$E$108)*1000000</f>
        <v>823.555555555556</v>
      </c>
      <c r="F115" s="6" t="s">
        <v>340</v>
      </c>
      <c r="G115" s="6"/>
    </row>
    <row r="116" customFormat="false" ht="15" hidden="false" customHeight="false" outlineLevel="0" collapsed="false">
      <c r="B116" s="6" t="s">
        <v>401</v>
      </c>
      <c r="C116" s="6"/>
      <c r="D116" s="14"/>
      <c r="E116" s="24" t="n">
        <f aca="false">FLOOR(113/MAX('3 ขนาดบ่อ'!$E$115,'3 ขนาดบ่อ'!$E$110)*1000,25)</f>
        <v>125</v>
      </c>
      <c r="F116" s="6" t="s">
        <v>343</v>
      </c>
      <c r="G116" s="6" t="s">
        <v>402</v>
      </c>
    </row>
    <row r="117" customFormat="false" ht="15" hidden="false" customHeight="false" outlineLevel="0" collapsed="false">
      <c r="B117" s="6" t="s">
        <v>403</v>
      </c>
      <c r="C117" s="6"/>
      <c r="D117" s="14" t="n">
        <f aca="false">'3 ขนาดบ่อ'!$E$116</f>
        <v>125</v>
      </c>
      <c r="E117" s="18" t="str">
        <f aca="false">IF(D117&gt;=100,"ผ่าน ✔","ไม่ผ่าน ✘")</f>
        <v>ผ่าน ✔</v>
      </c>
      <c r="F117" s="6"/>
      <c r="G117" s="6" t="s">
        <v>404</v>
      </c>
    </row>
    <row r="119" customFormat="false" ht="15" hidden="false" customHeight="false" outlineLevel="0" collapsed="false">
      <c r="B119" s="4" t="s">
        <v>405</v>
      </c>
      <c r="C119" s="5"/>
      <c r="D119" s="5"/>
      <c r="E119" s="5"/>
      <c r="F119" s="5"/>
      <c r="G119" s="5"/>
    </row>
    <row r="120" customFormat="false" ht="15" hidden="false" customHeight="false" outlineLevel="0" collapsed="false">
      <c r="B120" s="6" t="s">
        <v>406</v>
      </c>
      <c r="C120" s="6" t="s">
        <v>407</v>
      </c>
      <c r="D120" s="14"/>
      <c r="E120" s="24" t="n">
        <f aca="false">ROUND(('1 ข้อมูล'!$C$50+'3 ขนาดบ่อ'!$E$9-'1 ข้อมูล'!$C$49)/2/0.05,0)*0.05</f>
        <v>0.2</v>
      </c>
      <c r="F120" s="6" t="s">
        <v>21</v>
      </c>
      <c r="G120" s="6" t="s">
        <v>408</v>
      </c>
    </row>
    <row r="121" customFormat="false" ht="26.85" hidden="false" customHeight="false" outlineLevel="0" collapsed="false">
      <c r="B121" s="6" t="s">
        <v>409</v>
      </c>
      <c r="C121" s="6" t="s">
        <v>410</v>
      </c>
      <c r="D121" s="14" t="n">
        <f aca="false">'3 ขนาดบ่อ'!$E$9-'3 ขนาดบ่อ'!$E$120</f>
        <v>0.3</v>
      </c>
      <c r="E121" s="18" t="str">
        <f aca="false">IF(D121&gt;='1 ข้อมูล'!$C$49-0.0001,"ผ่าน ✔","ไม่ผ่าน ✘")</f>
        <v>ผ่าน ✔</v>
      </c>
      <c r="F121" s="6"/>
      <c r="G121" s="6" t="s">
        <v>411</v>
      </c>
    </row>
    <row r="122" customFormat="false" ht="15" hidden="false" customHeight="false" outlineLevel="0" collapsed="false">
      <c r="B122" s="6" t="s">
        <v>412</v>
      </c>
      <c r="C122" s="6" t="s">
        <v>413</v>
      </c>
      <c r="D122" s="14" t="n">
        <f aca="false">'3 ขนาดบ่อ'!$E$120</f>
        <v>0.2</v>
      </c>
      <c r="E122" s="18" t="str">
        <f aca="false">IF(D122&gt;='1 ข้อมูล'!$C$50-0.0001,"ผ่าน ✔","ไม่ผ่าน ✘")</f>
        <v>ผ่าน ✔</v>
      </c>
      <c r="F122" s="6"/>
      <c r="G122" s="6"/>
    </row>
    <row r="123" customFormat="false" ht="15" hidden="false" customHeight="false" outlineLevel="0" collapsed="false">
      <c r="B123" s="6" t="s">
        <v>414</v>
      </c>
      <c r="C123" s="6" t="s">
        <v>415</v>
      </c>
      <c r="D123" s="14"/>
      <c r="E123" s="24" t="n">
        <f aca="false">'3 ขนาดบ่อ'!$E$15-'1 ข้อมูล'!$C$47</f>
        <v>1.5</v>
      </c>
      <c r="F123" s="6" t="s">
        <v>21</v>
      </c>
      <c r="G123" s="6"/>
    </row>
    <row r="124" customFormat="false" ht="15" hidden="false" customHeight="false" outlineLevel="0" collapsed="false">
      <c r="B124" s="6" t="s">
        <v>416</v>
      </c>
      <c r="C124" s="6" t="s">
        <v>417</v>
      </c>
      <c r="D124" s="14" t="n">
        <f aca="false">'3 ขนาดบ่อ'!$E$123-'3 ขนาดบ่อ'!$E$16</f>
        <v>0.7</v>
      </c>
      <c r="E124" s="18" t="str">
        <f aca="false">IF(D124&gt;=0.5,"ผ่าน ✔","ไม่ผ่าน ✘")</f>
        <v>ผ่าน ✔</v>
      </c>
      <c r="F124" s="6"/>
      <c r="G124" s="6" t="s">
        <v>418</v>
      </c>
    </row>
    <row r="125" customFormat="false" ht="26.85" hidden="false" customHeight="false" outlineLevel="0" collapsed="false">
      <c r="B125" s="6" t="s">
        <v>419</v>
      </c>
      <c r="C125" s="6" t="s">
        <v>420</v>
      </c>
      <c r="D125" s="14"/>
      <c r="E125" s="24" t="n">
        <f aca="false">'1 ข้อมูล'!$C$51-'3 ขนาดบ่อ'!$E$38</f>
        <v>0.390334311237412</v>
      </c>
      <c r="F125" s="6" t="s">
        <v>21</v>
      </c>
      <c r="G125" s="6"/>
    </row>
    <row r="126" customFormat="false" ht="26.85" hidden="false" customHeight="false" outlineLevel="0" collapsed="false">
      <c r="B126" s="6" t="s">
        <v>421</v>
      </c>
      <c r="C126" s="6" t="s">
        <v>422</v>
      </c>
      <c r="D126" s="14"/>
      <c r="E126" s="24" t="n">
        <f aca="false">'1 ข้อมูล'!$C$51-'3 ขนาดบ่อ'!$E$9</f>
        <v>0.6</v>
      </c>
      <c r="F126" s="6" t="s">
        <v>21</v>
      </c>
      <c r="G126" s="6"/>
    </row>
    <row r="127" customFormat="false" ht="15" hidden="false" customHeight="false" outlineLevel="0" collapsed="false">
      <c r="B127" s="6" t="s">
        <v>423</v>
      </c>
      <c r="C127" s="6" t="s">
        <v>424</v>
      </c>
      <c r="D127" s="14" t="n">
        <f aca="false">'3 ขนาดบ่อ'!$E$125</f>
        <v>0.390334311237412</v>
      </c>
      <c r="E127" s="18" t="str">
        <f aca="false">IF(AND(D127&gt;='1 ข้อมูล'!$C$52,'3 ขนาดบ่อ'!$E$126&lt;='1 ข้อมูล'!$C$53),"ผ่าน ✔","ไม่ผ่าน ✘")</f>
        <v>ผ่าน ✔</v>
      </c>
      <c r="F127" s="6"/>
      <c r="G127" s="6"/>
    </row>
    <row r="128" customFormat="false" ht="15" hidden="false" customHeight="false" outlineLevel="0" collapsed="false">
      <c r="B128" s="6" t="s">
        <v>425</v>
      </c>
      <c r="C128" s="6"/>
      <c r="D128" s="14" t="n">
        <f aca="false">'3 ขนาดบ่อ'!$E$92-'1 ข้อมูล'!$C$51</f>
        <v>0.1</v>
      </c>
      <c r="E128" s="18" t="str">
        <f aca="false">IF(D128&gt;=0,"ผ่าน ✔","ไม่ผ่าน ✘")</f>
        <v>ผ่าน ✔</v>
      </c>
      <c r="F128" s="6"/>
      <c r="G128" s="6" t="s">
        <v>426</v>
      </c>
    </row>
    <row r="130" customFormat="false" ht="15" hidden="false" customHeight="false" outlineLevel="0" collapsed="false">
      <c r="B130" s="4" t="s">
        <v>427</v>
      </c>
      <c r="C130" s="5"/>
      <c r="D130" s="5"/>
      <c r="E130" s="5"/>
      <c r="F130" s="5"/>
      <c r="G130" s="5"/>
    </row>
    <row r="131" customFormat="false" ht="26.85" hidden="false" customHeight="false" outlineLevel="0" collapsed="false">
      <c r="B131" s="6" t="s">
        <v>428</v>
      </c>
      <c r="C131" s="6" t="s">
        <v>429</v>
      </c>
      <c r="D131" s="14"/>
      <c r="E131" s="24" t="n">
        <f aca="false">'3 ขนาดบ่อ'!$E$45+'3 ขนาดบ่อ'!$E$43+2*'1 ข้อมูล'!$C$38+'3 ขนาดบ่อ'!$E$15+'1 ข้อมูล'!$C$54+'3 ขนาดบ่อ'!$E$33</f>
        <v>3.2</v>
      </c>
      <c r="F131" s="6" t="s">
        <v>21</v>
      </c>
      <c r="G131" s="6"/>
    </row>
    <row r="132" customFormat="false" ht="15" hidden="false" customHeight="false" outlineLevel="0" collapsed="false">
      <c r="B132" s="6" t="s">
        <v>430</v>
      </c>
      <c r="C132" s="6" t="s">
        <v>431</v>
      </c>
      <c r="D132" s="14"/>
      <c r="E132" s="24" t="n">
        <f aca="false">'3 ขนาดบ่อ'!$E$71+'3 ขนาดบ่อ'!$E$54+'3 ขนาดบ่อ'!$E$131</f>
        <v>5.6</v>
      </c>
      <c r="F132" s="6" t="s">
        <v>21</v>
      </c>
      <c r="G132" s="6"/>
    </row>
    <row r="133" customFormat="false" ht="15" hidden="false" customHeight="false" outlineLevel="0" collapsed="false">
      <c r="B133" s="6" t="s">
        <v>432</v>
      </c>
      <c r="C133" s="6" t="s">
        <v>433</v>
      </c>
      <c r="D133" s="14"/>
      <c r="E133" s="24" t="n">
        <f aca="false">'3 ขนาดบ่อ'!$E$14</f>
        <v>1.25</v>
      </c>
      <c r="F133" s="6" t="s">
        <v>21</v>
      </c>
      <c r="G133" s="6"/>
    </row>
    <row r="134" customFormat="false" ht="15" hidden="false" customHeight="false" outlineLevel="0" collapsed="false">
      <c r="B134" s="6" t="s">
        <v>434</v>
      </c>
      <c r="C134" s="6"/>
      <c r="D134" s="14"/>
      <c r="E134" s="24" t="n">
        <f aca="false">'1 ข้อมูล'!$C$36</f>
        <v>3.5</v>
      </c>
      <c r="F134" s="6" t="s">
        <v>21</v>
      </c>
      <c r="G134" s="6"/>
    </row>
    <row r="135" customFormat="false" ht="15" hidden="false" customHeight="false" outlineLevel="0" collapsed="false">
      <c r="B135" s="6" t="s">
        <v>435</v>
      </c>
      <c r="C135" s="6" t="s">
        <v>436</v>
      </c>
      <c r="D135" s="14"/>
      <c r="E135" s="24" t="n">
        <f aca="false">'3 ขนาดบ่อ'!$E$92</f>
        <v>1.2</v>
      </c>
      <c r="F135" s="6" t="s">
        <v>21</v>
      </c>
      <c r="G135" s="6"/>
    </row>
    <row r="136" customFormat="false" ht="15" hidden="false" customHeight="false" outlineLevel="0" collapsed="false">
      <c r="B136" s="6" t="s">
        <v>437</v>
      </c>
      <c r="C136" s="6" t="s">
        <v>438</v>
      </c>
      <c r="D136" s="14"/>
      <c r="E136" s="24" t="n">
        <f aca="false">'3 ขนาดบ่อ'!$E$132+2*'1 ข้อมูล'!$C$54</f>
        <v>6</v>
      </c>
      <c r="F136" s="6" t="s">
        <v>21</v>
      </c>
      <c r="G136" s="6"/>
    </row>
    <row r="137" customFormat="false" ht="15" hidden="false" customHeight="false" outlineLevel="0" collapsed="false">
      <c r="B137" s="6" t="s">
        <v>439</v>
      </c>
      <c r="C137" s="6" t="s">
        <v>438</v>
      </c>
      <c r="D137" s="14"/>
      <c r="E137" s="24" t="n">
        <f aca="false">'3 ขนาดบ่อ'!$E$133+2*'1 ข้อมูล'!$C$54</f>
        <v>1.65</v>
      </c>
      <c r="F137" s="6" t="s">
        <v>21</v>
      </c>
      <c r="G137" s="6"/>
    </row>
    <row r="138" customFormat="false" ht="15" hidden="false" customHeight="false" outlineLevel="0" collapsed="false">
      <c r="B138" s="6" t="s">
        <v>440</v>
      </c>
      <c r="C138" s="6" t="s">
        <v>438</v>
      </c>
      <c r="D138" s="14"/>
      <c r="E138" s="24" t="n">
        <f aca="false">'1 ข้อมูล'!$C$36+2*'1 ข้อมูล'!$C$54</f>
        <v>3.9</v>
      </c>
      <c r="F138" s="6" t="s">
        <v>21</v>
      </c>
      <c r="G138" s="6"/>
    </row>
    <row r="139" customFormat="false" ht="15" hidden="false" customHeight="false" outlineLevel="0" collapsed="false">
      <c r="B139" s="6" t="s">
        <v>441</v>
      </c>
      <c r="C139" s="6" t="s">
        <v>442</v>
      </c>
      <c r="D139" s="14"/>
      <c r="E139" s="24" t="n">
        <f aca="false">'3 ขนาดบ่อ'!$E$92-'1 ข้อมูล'!$C$35+'1 ข้อมูล'!$C$55</f>
        <v>2.6</v>
      </c>
      <c r="F139" s="6" t="s">
        <v>21</v>
      </c>
      <c r="G139" s="6"/>
    </row>
    <row r="140" customFormat="false" ht="15" hidden="false" customHeight="false" outlineLevel="0" collapsed="false">
      <c r="B140" s="6" t="s">
        <v>443</v>
      </c>
      <c r="C140" s="6" t="s">
        <v>444</v>
      </c>
      <c r="D140" s="14"/>
      <c r="E140" s="24" t="n">
        <f aca="false">'3 ขนาดบ่อ'!$E$135+'1 ข้อมูล'!$C$55</f>
        <v>1.4</v>
      </c>
      <c r="F140" s="6" t="s">
        <v>21</v>
      </c>
      <c r="G14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445</v>
      </c>
    </row>
    <row r="2" customFormat="false" ht="15" hidden="false" customHeight="false" outlineLevel="0" collapsed="false">
      <c r="B2" s="2" t="s">
        <v>446</v>
      </c>
    </row>
    <row r="4" customFormat="false" ht="57.75" hidden="false" customHeight="true" outlineLevel="0" collapsed="false">
      <c r="B4" s="3" t="s">
        <v>142</v>
      </c>
      <c r="C4" s="3" t="s">
        <v>447</v>
      </c>
      <c r="D4" s="3" t="s">
        <v>448</v>
      </c>
      <c r="E4" s="3" t="s">
        <v>449</v>
      </c>
      <c r="F4" s="3" t="s">
        <v>450</v>
      </c>
      <c r="G4" s="3" t="s">
        <v>451</v>
      </c>
      <c r="H4" s="3" t="s">
        <v>452</v>
      </c>
      <c r="I4" s="3" t="s">
        <v>453</v>
      </c>
    </row>
    <row r="5" customFormat="false" ht="15" hidden="false" customHeight="false" outlineLevel="0" collapsed="false">
      <c r="B5" s="6" t="s">
        <v>149</v>
      </c>
      <c r="C5" s="9" t="n">
        <f aca="false">'1 ข้อมูล'!$C$7-'1 ข้อมูล'!$C$9</f>
        <v>40</v>
      </c>
      <c r="D5" s="15" t="n">
        <f aca="false">C5/3600</f>
        <v>0.0111111111111111</v>
      </c>
      <c r="E5" s="9" t="n">
        <f aca="false">(D5/('1 ข้อมูล'!$C$64*'3 ขนาดบ่อ'!$E$14))^(2/3)*100</f>
        <v>2.85772062787474</v>
      </c>
      <c r="F5" s="20" t="n">
        <f aca="false">'1 ข้อมูล'!$C$18*100+E5</f>
        <v>4.85772062787474</v>
      </c>
      <c r="G5" s="13" t="n">
        <f aca="false">D5/('3 ขนาดบ่อ'!$E$14*F5/100)</f>
        <v>0.182984769397449</v>
      </c>
      <c r="H5" s="13" t="n">
        <f aca="false">G5/SQRT('1 ข้อมูล'!$C$59*F5/100)</f>
        <v>0.265072193610935</v>
      </c>
      <c r="I5" s="18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150</v>
      </c>
      <c r="C6" s="9" t="n">
        <f aca="false">'1 ข้อมูล'!$C$11-'1 ข้อมูล'!$C$9</f>
        <v>52.7916666666667</v>
      </c>
      <c r="D6" s="15" t="n">
        <f aca="false">C6/3600</f>
        <v>0.0146643518518519</v>
      </c>
      <c r="E6" s="9" t="n">
        <f aca="false">(D6/('1 ข้อมูล'!$C$64*'3 ขนาดบ่อ'!$E$14))^(2/3)*100</f>
        <v>3.43840231797949</v>
      </c>
      <c r="F6" s="20" t="n">
        <f aca="false">'1 ข้อมูล'!$C$18*100+E6</f>
        <v>5.43840231797949</v>
      </c>
      <c r="G6" s="13" t="n">
        <f aca="false">D6/('3 ขนาดบ่อ'!$E$14*F6/100)</f>
        <v>0.215715586960106</v>
      </c>
      <c r="H6" s="13" t="n">
        <f aca="false">G6/SQRT('1 ข้อมูล'!$C$59*F6/100)</f>
        <v>0.295332578514636</v>
      </c>
      <c r="I6" s="18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152</v>
      </c>
      <c r="C7" s="9" t="n">
        <f aca="false">'1 ข้อมูล'!$C$10</f>
        <v>65</v>
      </c>
      <c r="D7" s="15" t="n">
        <f aca="false">C7/3600</f>
        <v>0.0180555555555556</v>
      </c>
      <c r="E7" s="9" t="n">
        <f aca="false">(D7/('1 ข้อมูล'!$C$64*'3 ขนาดบ่อ'!$E$14))^(2/3)*100</f>
        <v>3.94992345798111</v>
      </c>
      <c r="F7" s="20" t="n">
        <f aca="false">'1 ข้อมูล'!$C$18*100+E7</f>
        <v>5.94992345798111</v>
      </c>
      <c r="G7" s="13" t="n">
        <f aca="false">D7/('3 ขนาดบ่อ'!$E$14*F7/100)</f>
        <v>0.242766895178608</v>
      </c>
      <c r="H7" s="13" t="n">
        <f aca="false">G7/SQRT('1 ข้อมูล'!$C$59*F7/100)</f>
        <v>0.317760032268894</v>
      </c>
      <c r="I7" s="18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154</v>
      </c>
      <c r="C8" s="9" t="n">
        <f aca="false">'1 ข้อมูล'!$C$8</f>
        <v>100</v>
      </c>
      <c r="D8" s="15" t="n">
        <f aca="false">C8/3600</f>
        <v>0.0277777777777778</v>
      </c>
      <c r="E8" s="9" t="n">
        <f aca="false">(D8/('1 ข้อมูล'!$C$64*'3 ขนาดบ่อ'!$E$14))^(2/3)*100</f>
        <v>5.26396640370247</v>
      </c>
      <c r="F8" s="20" t="n">
        <f aca="false">'1 ข้อมูล'!$C$18*100+E8</f>
        <v>7.26396640370247</v>
      </c>
      <c r="G8" s="13" t="n">
        <f aca="false">D8/('3 ขนาดบ่อ'!$E$14*F8/100)</f>
        <v>0.305924077662246</v>
      </c>
      <c r="H8" s="13" t="n">
        <f aca="false">G8/SQRT('1 ข้อมูล'!$C$59*F8/100)</f>
        <v>0.362403382246236</v>
      </c>
      <c r="I8" s="18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3" t="s">
        <v>454</v>
      </c>
    </row>
    <row r="11" customFormat="false" ht="15" hidden="false" customHeight="false" outlineLevel="0" collapsed="false">
      <c r="B11" s="23" t="s">
        <v>455</v>
      </c>
    </row>
    <row r="12" customFormat="false" ht="15" hidden="false" customHeight="false" outlineLevel="0" collapsed="false">
      <c r="B12" s="23" t="s">
        <v>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457</v>
      </c>
    </row>
    <row r="2" customFormat="false" ht="15" hidden="false" customHeight="false" outlineLevel="0" collapsed="false">
      <c r="B2" s="2" t="s">
        <v>458</v>
      </c>
    </row>
    <row r="4" customFormat="false" ht="15" hidden="false" customHeight="false" outlineLevel="0" collapsed="false">
      <c r="B4" s="3" t="s">
        <v>459</v>
      </c>
      <c r="C4" s="3" t="s">
        <v>21</v>
      </c>
      <c r="D4" s="3" t="s">
        <v>460</v>
      </c>
    </row>
    <row r="5" customFormat="false" ht="15" hidden="false" customHeight="false" outlineLevel="0" collapsed="false">
      <c r="B5" s="6" t="s">
        <v>436</v>
      </c>
      <c r="C5" s="25" t="n">
        <f aca="false">'3 ขนาดบ่อ'!$E$92</f>
        <v>1.2</v>
      </c>
      <c r="D5" s="6" t="s">
        <v>354</v>
      </c>
    </row>
    <row r="6" customFormat="false" ht="15" hidden="false" customHeight="false" outlineLevel="0" collapsed="false">
      <c r="B6" s="6" t="s">
        <v>461</v>
      </c>
      <c r="C6" s="25" t="n">
        <f aca="false">'1 ข้อมูล'!$C$24</f>
        <v>1.1</v>
      </c>
      <c r="D6" s="6" t="s">
        <v>462</v>
      </c>
    </row>
    <row r="7" customFormat="false" ht="15" hidden="false" customHeight="false" outlineLevel="0" collapsed="false">
      <c r="B7" s="6" t="s">
        <v>463</v>
      </c>
      <c r="C7" s="25" t="n">
        <f aca="false">'3 ขนาดบ่อ'!$E$77</f>
        <v>0.979794827744479</v>
      </c>
      <c r="D7" s="6" t="s">
        <v>464</v>
      </c>
    </row>
    <row r="8" customFormat="false" ht="15" hidden="false" customHeight="false" outlineLevel="0" collapsed="false">
      <c r="B8" s="6" t="s">
        <v>465</v>
      </c>
      <c r="C8" s="25" t="n">
        <f aca="false">'3 ขนาดบ่อ'!$E$53+'1 ข้อมูล'!$C$18</f>
        <v>0.92</v>
      </c>
      <c r="D8" s="6" t="s">
        <v>466</v>
      </c>
    </row>
    <row r="9" customFormat="false" ht="15" hidden="false" customHeight="false" outlineLevel="0" collapsed="false">
      <c r="B9" s="6" t="s">
        <v>467</v>
      </c>
      <c r="C9" s="25" t="n">
        <f aca="false">'3 ขนาดบ่อ'!$E$53</f>
        <v>0.9</v>
      </c>
      <c r="D9" s="6" t="s">
        <v>468</v>
      </c>
    </row>
    <row r="10" customFormat="false" ht="15" hidden="false" customHeight="false" outlineLevel="0" collapsed="false">
      <c r="B10" s="6" t="s">
        <v>469</v>
      </c>
      <c r="C10" s="25" t="n">
        <f aca="false">'3 ขนาดบ่อ'!$E$98</f>
        <v>0.86</v>
      </c>
      <c r="D10" s="6" t="s">
        <v>366</v>
      </c>
    </row>
    <row r="11" customFormat="false" ht="15" hidden="false" customHeight="false" outlineLevel="0" collapsed="false">
      <c r="B11" s="6" t="s">
        <v>470</v>
      </c>
      <c r="C11" s="25" t="n">
        <f aca="false">'3 ขนาดบ่อ'!$E$9+'3 ขนาดบ่อ'!$E$10</f>
        <v>0.76</v>
      </c>
      <c r="D11" s="6" t="s">
        <v>471</v>
      </c>
    </row>
    <row r="12" customFormat="false" ht="15" hidden="false" customHeight="false" outlineLevel="0" collapsed="false">
      <c r="B12" s="6" t="s">
        <v>472</v>
      </c>
      <c r="C12" s="25" t="n">
        <f aca="false">'3 ขนาดบ่อ'!$E$38</f>
        <v>0.709665688762588</v>
      </c>
      <c r="D12" s="6" t="s">
        <v>241</v>
      </c>
    </row>
    <row r="13" customFormat="false" ht="15" hidden="false" customHeight="false" outlineLevel="0" collapsed="false">
      <c r="B13" s="6" t="s">
        <v>473</v>
      </c>
      <c r="C13" s="25" t="n">
        <f aca="false">'3 ขนาดบ่อ'!$E$9</f>
        <v>0.5</v>
      </c>
      <c r="D13" s="6" t="s">
        <v>474</v>
      </c>
    </row>
    <row r="14" customFormat="false" ht="15" hidden="false" customHeight="false" outlineLevel="0" collapsed="false">
      <c r="B14" s="6" t="s">
        <v>475</v>
      </c>
      <c r="C14" s="25" t="n">
        <f aca="false">'3 ขนาดบ่อ'!$E$95</f>
        <v>0.4</v>
      </c>
      <c r="D14" s="6" t="s">
        <v>358</v>
      </c>
    </row>
    <row r="15" customFormat="false" ht="15" hidden="false" customHeight="false" outlineLevel="0" collapsed="false">
      <c r="B15" s="6" t="s">
        <v>476</v>
      </c>
      <c r="C15" s="25" t="n">
        <f aca="false">'3 ขนาดบ่อ'!$E$97</f>
        <v>0.3</v>
      </c>
      <c r="D15" s="6" t="s">
        <v>477</v>
      </c>
    </row>
    <row r="16" customFormat="false" ht="15" hidden="false" customHeight="false" outlineLevel="0" collapsed="false">
      <c r="B16" s="6" t="s">
        <v>478</v>
      </c>
      <c r="C16" s="25" t="n">
        <f aca="false">'1 ข้อมูล'!$C$35+'3 ขนาดบ่อ'!$E$59</f>
        <v>-0.9</v>
      </c>
      <c r="D16" s="6" t="s">
        <v>479</v>
      </c>
    </row>
    <row r="17" customFormat="false" ht="15" hidden="false" customHeight="false" outlineLevel="0" collapsed="false">
      <c r="B17" s="6" t="s">
        <v>480</v>
      </c>
      <c r="C17" s="25" t="n">
        <f aca="false">'3 ขนาดบ่อ'!$E$28</f>
        <v>0.210686269183871</v>
      </c>
      <c r="D17" s="6" t="s">
        <v>481</v>
      </c>
    </row>
    <row r="18" customFormat="false" ht="15" hidden="false" customHeight="false" outlineLevel="0" collapsed="false">
      <c r="B18" s="6" t="s">
        <v>482</v>
      </c>
      <c r="C18" s="25" t="n">
        <f aca="false">'1 ข้อมูล'!$C$35+0.6</f>
        <v>-0.6</v>
      </c>
      <c r="D18" s="6" t="s">
        <v>483</v>
      </c>
    </row>
    <row r="19" customFormat="false" ht="15" hidden="false" customHeight="false" outlineLevel="0" collapsed="false">
      <c r="B19" s="6" t="s">
        <v>484</v>
      </c>
      <c r="C19" s="25" t="n">
        <f aca="false">0</f>
        <v>0</v>
      </c>
      <c r="D19" s="6"/>
    </row>
    <row r="20" customFormat="false" ht="15" hidden="false" customHeight="false" outlineLevel="0" collapsed="false">
      <c r="B20" s="6" t="s">
        <v>485</v>
      </c>
      <c r="C20" s="25" t="n">
        <f aca="false">'1 ข้อมูล'!$C$35</f>
        <v>-1.2</v>
      </c>
      <c r="D20" s="6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486</v>
      </c>
    </row>
    <row r="2" customFormat="false" ht="15" hidden="false" customHeight="false" outlineLevel="0" collapsed="false">
      <c r="B2" s="2" t="s">
        <v>487</v>
      </c>
    </row>
    <row r="4" customFormat="false" ht="45" hidden="false" customHeight="true" outlineLevel="0" collapsed="false">
      <c r="B4" s="3" t="s">
        <v>488</v>
      </c>
      <c r="C4" s="3" t="s">
        <v>489</v>
      </c>
      <c r="D4" s="3" t="s">
        <v>490</v>
      </c>
      <c r="E4" s="3" t="s">
        <v>491</v>
      </c>
      <c r="F4" s="3" t="s">
        <v>492</v>
      </c>
      <c r="G4" s="3" t="s">
        <v>493</v>
      </c>
    </row>
    <row r="5" customFormat="false" ht="15" hidden="false" customHeight="false" outlineLevel="0" collapsed="false">
      <c r="B5" s="16" t="n">
        <v>5</v>
      </c>
      <c r="C5" s="20" t="n">
        <f aca="false">'2 เวียร์'!$C$5*(B5/100)^2.5*3600</f>
        <v>2.77719642805474</v>
      </c>
      <c r="D5" s="9" t="n">
        <f aca="false">'2 เวียร์'!$C$6*(B5/100+'1 ข้อมูล'!$C$63)^2.5*3600</f>
        <v>2.86619650300861</v>
      </c>
      <c r="E5" s="26" t="n">
        <f aca="false">C5/D5-1</f>
        <v>-0.0310516305704971</v>
      </c>
      <c r="F5" s="13" t="n">
        <f aca="false">C5/3.6</f>
        <v>0.771443452237427</v>
      </c>
      <c r="G5" s="27" t="n">
        <f aca="false">C5*24</f>
        <v>66.6527142733137</v>
      </c>
    </row>
    <row r="6" customFormat="false" ht="15" hidden="false" customHeight="false" outlineLevel="0" collapsed="false">
      <c r="B6" s="16" t="n">
        <v>6</v>
      </c>
      <c r="C6" s="20" t="n">
        <f aca="false">'2 เวียร์'!$C$5*(B6/100)^2.5*3600</f>
        <v>4.38086341517286</v>
      </c>
      <c r="D6" s="9" t="n">
        <f aca="false">'2 เวียร์'!$C$6*(B6/100+'1 ข้อมูล'!$C$63)^2.5*3600</f>
        <v>4.48983131905459</v>
      </c>
      <c r="E6" s="26" t="n">
        <f aca="false">C6/D6-1</f>
        <v>-0.0242699326852838</v>
      </c>
      <c r="F6" s="13" t="n">
        <f aca="false">C6/3.6</f>
        <v>1.21690650421468</v>
      </c>
      <c r="G6" s="27" t="n">
        <f aca="false">C6*24</f>
        <v>105.140721964149</v>
      </c>
    </row>
    <row r="7" customFormat="false" ht="15" hidden="false" customHeight="false" outlineLevel="0" collapsed="false">
      <c r="B7" s="16" t="n">
        <v>7</v>
      </c>
      <c r="C7" s="20" t="n">
        <f aca="false">'2 เวียร์'!$C$5*(B7/100)^2.5*3600</f>
        <v>6.44060533155076</v>
      </c>
      <c r="D7" s="9" t="n">
        <f aca="false">'2 เวียร์'!$C$6*(B7/100+'1 ข้อมูล'!$C$63)^2.5*3600</f>
        <v>6.56792530595593</v>
      </c>
      <c r="E7" s="26" t="n">
        <f aca="false">C7/D7-1</f>
        <v>-0.0193851130264402</v>
      </c>
      <c r="F7" s="13" t="n">
        <f aca="false">C7/3.6</f>
        <v>1.78905703654188</v>
      </c>
      <c r="G7" s="27" t="n">
        <f aca="false">C7*24</f>
        <v>154.574527957218</v>
      </c>
    </row>
    <row r="8" customFormat="false" ht="15" hidden="false" customHeight="false" outlineLevel="0" collapsed="false">
      <c r="B8" s="16" t="n">
        <v>8</v>
      </c>
      <c r="C8" s="20" t="n">
        <f aca="false">'2 เวียร์'!$C$5*(B8/100)^2.5*3600</f>
        <v>8.99304061167301</v>
      </c>
      <c r="D8" s="9" t="n">
        <f aca="false">'2 เวียร์'!$C$6*(B8/100+'1 ข้อมูล'!$C$63)^2.5*3600</f>
        <v>9.13647413844802</v>
      </c>
      <c r="E8" s="26" t="n">
        <f aca="false">C8/D8-1</f>
        <v>-0.0156990021097324</v>
      </c>
      <c r="F8" s="13" t="n">
        <f aca="false">C8/3.6</f>
        <v>2.49806683657584</v>
      </c>
      <c r="G8" s="27" t="n">
        <f aca="false">C8*24</f>
        <v>215.832974680152</v>
      </c>
    </row>
    <row r="9" customFormat="false" ht="15" hidden="false" customHeight="false" outlineLevel="0" collapsed="false">
      <c r="B9" s="16" t="n">
        <v>9</v>
      </c>
      <c r="C9" s="20" t="n">
        <f aca="false">'2 เวียร์'!$C$5*(B9/100)^2.5*3600</f>
        <v>12.07224</v>
      </c>
      <c r="D9" s="9" t="n">
        <f aca="false">'2 เวียร์'!$C$6*(B9/100+'1 ข้อมูล'!$C$63)^2.5*3600</f>
        <v>12.2289986697729</v>
      </c>
      <c r="E9" s="26" t="n">
        <f aca="false">C9/D9-1</f>
        <v>-0.0128186022425818</v>
      </c>
      <c r="F9" s="13" t="n">
        <f aca="false">C9/3.6</f>
        <v>3.3534</v>
      </c>
      <c r="G9" s="27" t="n">
        <f aca="false">C9*24</f>
        <v>289.73376</v>
      </c>
    </row>
    <row r="10" customFormat="false" ht="15" hidden="false" customHeight="false" outlineLevel="0" collapsed="false">
      <c r="B10" s="16" t="n">
        <v>10</v>
      </c>
      <c r="C10" s="20" t="n">
        <f aca="false">'2 เวียร์'!$C$5*(B10/100)^2.5*3600</f>
        <v>15.7101954157165</v>
      </c>
      <c r="D10" s="9" t="n">
        <f aca="false">'2 เวียร์'!$C$6*(B10/100+'1 ข้อมูล'!$C$63)^2.5*3600</f>
        <v>15.8769956216084</v>
      </c>
      <c r="E10" s="26" t="n">
        <f aca="false">C10/D10-1</f>
        <v>-0.0105057789185823</v>
      </c>
      <c r="F10" s="13" t="n">
        <f aca="false">C10/3.6</f>
        <v>4.36394317103236</v>
      </c>
      <c r="G10" s="27" t="n">
        <f aca="false">C10*24</f>
        <v>377.044689977196</v>
      </c>
    </row>
    <row r="11" customFormat="false" ht="15" hidden="false" customHeight="false" outlineLevel="0" collapsed="false">
      <c r="B11" s="16" t="n">
        <v>11</v>
      </c>
      <c r="C11" s="20" t="n">
        <f aca="false">'2 เวียร์'!$C$5*(B11/100)^2.5*3600</f>
        <v>19.9371602697676</v>
      </c>
      <c r="D11" s="9" t="n">
        <f aca="false">'2 เวียร์'!$C$6*(B11/100+'1 ข้อมูล'!$C$63)^2.5*3600</f>
        <v>20.1102658699656</v>
      </c>
      <c r="E11" s="26" t="n">
        <f aca="false">C11/D11-1</f>
        <v>-0.00860782255775738</v>
      </c>
      <c r="F11" s="13" t="n">
        <f aca="false">C11/3.6</f>
        <v>5.53810007493545</v>
      </c>
      <c r="G11" s="27" t="n">
        <f aca="false">C11*24</f>
        <v>478.491846474423</v>
      </c>
    </row>
    <row r="12" customFormat="false" ht="15" hidden="false" customHeight="false" outlineLevel="0" collapsed="false">
      <c r="B12" s="16" t="n">
        <v>12</v>
      </c>
      <c r="C12" s="20" t="n">
        <f aca="false">'2 เวียร์'!$C$5*(B12/100)^2.5*3600</f>
        <v>24.7819058265663</v>
      </c>
      <c r="D12" s="9" t="n">
        <f aca="false">'2 เวียร์'!$C$6*(B12/100+'1 ข้อมูล'!$C$63)^2.5*3600</f>
        <v>24.9571624264048</v>
      </c>
      <c r="E12" s="26" t="n">
        <f aca="false">C12/D12-1</f>
        <v>-0.00702229671964116</v>
      </c>
      <c r="F12" s="13" t="n">
        <f aca="false">C12/3.6</f>
        <v>6.88386272960174</v>
      </c>
      <c r="G12" s="27" t="n">
        <f aca="false">C12*24</f>
        <v>594.765739837591</v>
      </c>
    </row>
    <row r="13" customFormat="false" ht="15" hidden="false" customHeight="false" outlineLevel="0" collapsed="false">
      <c r="B13" s="16" t="n">
        <v>13</v>
      </c>
      <c r="C13" s="20" t="n">
        <f aca="false">'2 เวียร์'!$C$5*(B13/100)^2.5*3600</f>
        <v>30.2719200646936</v>
      </c>
      <c r="D13" s="9" t="n">
        <f aca="false">'2 เวียร์'!$C$6*(B13/100+'1 ข้อมูล'!$C$63)^2.5*3600</f>
        <v>30.4447832233961</v>
      </c>
      <c r="E13" s="26" t="n">
        <f aca="false">C13/D13-1</f>
        <v>-0.0056779237820157</v>
      </c>
      <c r="F13" s="13" t="n">
        <f aca="false">C13/3.6</f>
        <v>8.40886668463712</v>
      </c>
      <c r="G13" s="27" t="n">
        <f aca="false">C13*24</f>
        <v>726.526081552647</v>
      </c>
    </row>
    <row r="14" customFormat="false" ht="15" hidden="false" customHeight="false" outlineLevel="0" collapsed="false">
      <c r="B14" s="16" t="n">
        <v>14</v>
      </c>
      <c r="C14" s="20" t="n">
        <f aca="false">'2 เวียร์'!$C$5*(B14/100)^2.5*3600</f>
        <v>36.4335656390862</v>
      </c>
      <c r="D14" s="9" t="n">
        <f aca="false">'2 เวียร์'!$C$6*(B14/100+'1 ข้อมูล'!$C$63)^2.5*3600</f>
        <v>36.599124528368</v>
      </c>
      <c r="E14" s="26" t="n">
        <f aca="false">C14/D14-1</f>
        <v>-0.00452357512413992</v>
      </c>
      <c r="F14" s="13" t="n">
        <f aca="false">C14/3.6</f>
        <v>10.1204348997462</v>
      </c>
      <c r="G14" s="27" t="n">
        <f aca="false">C14*24</f>
        <v>874.405575338068</v>
      </c>
    </row>
    <row r="15" customFormat="false" ht="15" hidden="false" customHeight="false" outlineLevel="0" collapsed="false">
      <c r="B15" s="16" t="n">
        <v>15</v>
      </c>
      <c r="C15" s="20" t="n">
        <f aca="false">'2 เวียร์'!$C$5*(B15/100)^2.5*3600</f>
        <v>43.2922078439065</v>
      </c>
      <c r="D15" s="9" t="n">
        <f aca="false">'2 เวียร์'!$C$6*(B15/100+'1 ข้อมูล'!$C$63)^2.5*3600</f>
        <v>43.4452054104805</v>
      </c>
      <c r="E15" s="26" t="n">
        <f aca="false">C15/D15-1</f>
        <v>-0.00352162143390655</v>
      </c>
      <c r="F15" s="13" t="n">
        <f aca="false">C15/3.6</f>
        <v>12.025613289974</v>
      </c>
      <c r="G15" s="27" t="n">
        <f aca="false">C15*24</f>
        <v>1039.01298825376</v>
      </c>
    </row>
    <row r="16" customFormat="false" ht="15" hidden="false" customHeight="false" outlineLevel="0" collapsed="false">
      <c r="B16" s="16" t="n">
        <v>16</v>
      </c>
      <c r="C16" s="20" t="n">
        <f aca="false">'2 เวียร์'!$C$5*(B16/100)^2.5*3600</f>
        <v>50.87232</v>
      </c>
      <c r="D16" s="9" t="n">
        <f aca="false">'2 เวียร์'!$C$6*(B16/100+'1 ข้อมูล'!$C$63)^2.5*3600</f>
        <v>51.0071703805085</v>
      </c>
      <c r="E16" s="26" t="n">
        <f aca="false">C16/D16-1</f>
        <v>-0.0026437534076581</v>
      </c>
      <c r="F16" s="13" t="n">
        <f aca="false">C16/3.6</f>
        <v>14.1312</v>
      </c>
      <c r="G16" s="27" t="n">
        <f aca="false">C16*24</f>
        <v>1220.93568</v>
      </c>
    </row>
    <row r="17" customFormat="false" ht="15" hidden="false" customHeight="false" outlineLevel="0" collapsed="false">
      <c r="B17" s="16" t="n">
        <v>17</v>
      </c>
      <c r="C17" s="20" t="n">
        <f aca="false">'2 เวียร์'!$C$5*(B17/100)^2.5*3600</f>
        <v>59.1975714819181</v>
      </c>
      <c r="D17" s="9" t="n">
        <f aca="false">'2 เวียร์'!$C$6*(B17/100+'1 ข้อมูล'!$C$63)^2.5*3600</f>
        <v>59.3083752175669</v>
      </c>
      <c r="E17" s="26" t="n">
        <f aca="false">C17/D17-1</f>
        <v>-0.00186826456200051</v>
      </c>
      <c r="F17" s="13" t="n">
        <f aca="false">C17/3.6</f>
        <v>16.4437698560884</v>
      </c>
      <c r="G17" s="27" t="n">
        <f aca="false">C17*24</f>
        <v>1420.74171556603</v>
      </c>
    </row>
    <row r="18" customFormat="false" ht="15" hidden="false" customHeight="false" outlineLevel="0" collapsed="false">
      <c r="B18" s="16" t="n">
        <v>18</v>
      </c>
      <c r="C18" s="20" t="n">
        <f aca="false">'2 เวียร์'!$C$5*(B18/100)^2.5*3600</f>
        <v>68.2909021448919</v>
      </c>
      <c r="D18" s="9" t="n">
        <f aca="false">'2 เวียร์'!$C$6*(B18/100+'1 ข้อมูล'!$C$63)^2.5*3600</f>
        <v>68.3714596053392</v>
      </c>
      <c r="E18" s="26" t="n">
        <f aca="false">C18/D18-1</f>
        <v>-0.00117823227575298</v>
      </c>
      <c r="F18" s="13" t="n">
        <f aca="false">C18/3.6</f>
        <v>18.9696950402477</v>
      </c>
      <c r="G18" s="27" t="n">
        <f aca="false">C18*24</f>
        <v>1638.98165147741</v>
      </c>
    </row>
    <row r="19" customFormat="false" ht="15" hidden="false" customHeight="false" outlineLevel="0" collapsed="false">
      <c r="B19" s="16" t="n">
        <v>19</v>
      </c>
      <c r="C19" s="20" t="n">
        <f aca="false">'2 เวียร์'!$C$5*(B19/100)^2.5*3600</f>
        <v>78.1745859249513</v>
      </c>
      <c r="D19" s="9" t="n">
        <f aca="false">'2 เวียร์'!$C$6*(B19/100+'1 ข้อมูล'!$C$63)^2.5*3600</f>
        <v>78.2184092541632</v>
      </c>
      <c r="E19" s="26" t="n">
        <f aca="false">C19/D19-1</f>
        <v>-0.000560268735067315</v>
      </c>
      <c r="F19" s="13" t="n">
        <f aca="false">C19/3.6</f>
        <v>21.7151627569309</v>
      </c>
      <c r="G19" s="27" t="n">
        <f aca="false">C19*24</f>
        <v>1876.19006219883</v>
      </c>
    </row>
    <row r="20" customFormat="false" ht="15" hidden="false" customHeight="false" outlineLevel="0" collapsed="false">
      <c r="B20" s="16" t="n">
        <v>20</v>
      </c>
      <c r="C20" s="20" t="n">
        <f aca="false">'2 เวียร์'!$C$5*(B20/100)^2.5*3600</f>
        <v>88.8702856977516</v>
      </c>
      <c r="D20" s="9" t="n">
        <f aca="false">'2 เวียร์'!$C$6*(B20/100+'1 ข้อมูล'!$C$63)^2.5*3600</f>
        <v>88.8706095248216</v>
      </c>
      <c r="E20" s="26" t="n">
        <f aca="false">C20/D20-1</f>
        <v>-3.64380385908802E-006</v>
      </c>
      <c r="F20" s="13" t="n">
        <f aca="false">C20/3.6</f>
        <v>24.6861904715977</v>
      </c>
      <c r="G20" s="27" t="n">
        <f aca="false">C20*24</f>
        <v>2132.88685674604</v>
      </c>
    </row>
    <row r="21" customFormat="false" ht="15" hidden="false" customHeight="false" outlineLevel="0" collapsed="false">
      <c r="B21" s="16" t="n">
        <v>21</v>
      </c>
      <c r="C21" s="20" t="n">
        <f aca="false">'2 เวียร์'!$C$5*(B21/100)^2.5*3600</f>
        <v>100.399100991704</v>
      </c>
      <c r="D21" s="9" t="n">
        <f aca="false">'2 เวียร์'!$C$6*(B21/100+'1 ข้อมูล'!$C$63)^2.5*3600</f>
        <v>100.348892098404</v>
      </c>
      <c r="E21" s="26" t="n">
        <f aca="false">C21/D21-1</f>
        <v>0.000500343274847825</v>
      </c>
      <c r="F21" s="13" t="n">
        <f aca="false">C21/3.6</f>
        <v>27.8886391643623</v>
      </c>
      <c r="G21" s="27" t="n">
        <f aca="false">C21*24</f>
        <v>2409.5784238009</v>
      </c>
    </row>
    <row r="22" customFormat="false" ht="15" hidden="false" customHeight="false" outlineLevel="0" collapsed="false">
      <c r="B22" s="16" t="n">
        <v>22</v>
      </c>
      <c r="C22" s="20" t="n">
        <f aca="false">'2 เวียร์'!$C$5*(B22/100)^2.5*3600</f>
        <v>112.781609794846</v>
      </c>
      <c r="D22" s="9" t="n">
        <f aca="false">'2 เวียร์'!$C$6*(B22/100+'1 ข้อมูล'!$C$63)^2.5*3600</f>
        <v>112.673575893332</v>
      </c>
      <c r="E22" s="26" t="n">
        <f aca="false">C22/D22-1</f>
        <v>0.00095882198338515</v>
      </c>
      <c r="F22" s="13" t="n">
        <f aca="false">C22/3.6</f>
        <v>31.3282249430127</v>
      </c>
      <c r="G22" s="27" t="n">
        <f aca="false">C22*24</f>
        <v>2706.75863507629</v>
      </c>
    </row>
    <row r="23" customFormat="false" ht="15" hidden="false" customHeight="false" outlineLevel="0" collapsed="false">
      <c r="B23" s="16" t="n">
        <v>23</v>
      </c>
      <c r="C23" s="20" t="n">
        <f aca="false">'2 เวียร์'!$C$5*(B23/100)^2.5*3600</f>
        <v>126.037905431355</v>
      </c>
      <c r="D23" s="9" t="n">
        <f aca="false">'2 เวียร์'!$C$6*(B23/100+'1 ข้อมูล'!$C$63)^2.5*3600</f>
        <v>125.864503176292</v>
      </c>
      <c r="E23" s="26" t="n">
        <f aca="false">C23/D23-1</f>
        <v>0.00137768990213294</v>
      </c>
      <c r="F23" s="13" t="n">
        <f aca="false">C23/3.6</f>
        <v>35.0105292864875</v>
      </c>
      <c r="G23" s="27" t="n">
        <f aca="false">C23*24</f>
        <v>3024.90973035252</v>
      </c>
    </row>
    <row r="24" customFormat="false" ht="15" hidden="false" customHeight="false" outlineLevel="0" collapsed="false">
      <c r="B24" s="16" t="n">
        <v>24</v>
      </c>
      <c r="C24" s="20" t="n">
        <f aca="false">'2 เวียร์'!$C$5*(B24/100)^2.5*3600</f>
        <v>140.187629285531</v>
      </c>
      <c r="D24" s="9" t="n">
        <f aca="false">'2 เวียร์'!$C$6*(B24/100+'1 ข้อมูล'!$C$63)^2.5*3600</f>
        <v>139.941071622383</v>
      </c>
      <c r="E24" s="26" t="n">
        <f aca="false">C24/D24-1</f>
        <v>0.00176186776540921</v>
      </c>
      <c r="F24" s="13" t="n">
        <f aca="false">C24/3.6</f>
        <v>38.9410081348699</v>
      </c>
      <c r="G24" s="27" t="n">
        <f aca="false">C24*24</f>
        <v>3364.50310285276</v>
      </c>
    </row>
    <row r="25" customFormat="false" ht="15" hidden="false" customHeight="false" outlineLevel="0" collapsed="false">
      <c r="B25" s="16" t="n">
        <v>25</v>
      </c>
      <c r="C25" s="20" t="n">
        <f aca="false">'2 เวียร์'!$C$5*(B25/100)^2.5*3600</f>
        <v>155.25</v>
      </c>
      <c r="D25" s="9" t="n">
        <f aca="false">'2 เวียร์'!$C$6*(B25/100+'1 ข้อมูล'!$C$63)^2.5*3600</f>
        <v>154.922262933655</v>
      </c>
      <c r="E25" s="26" t="n">
        <f aca="false">C25/D25-1</f>
        <v>0.00211549366849639</v>
      </c>
      <c r="F25" s="13" t="n">
        <f aca="false">C25/3.6</f>
        <v>43.125</v>
      </c>
      <c r="G25" s="27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52"/>
    <col collapsed="false" customWidth="true" hidden="false" outlineLevel="0" max="5" min="4" style="0" width="18"/>
    <col collapsed="false" customWidth="true" hidden="false" outlineLevel="0" max="6" min="6" style="0" width="40"/>
  </cols>
  <sheetData>
    <row r="1" customFormat="false" ht="18.65" hidden="false" customHeight="false" outlineLevel="0" collapsed="false">
      <c r="B1" s="1" t="s">
        <v>494</v>
      </c>
    </row>
    <row r="2" customFormat="false" ht="15" hidden="false" customHeight="false" outlineLevel="0" collapsed="false">
      <c r="B2" s="2" t="s">
        <v>495</v>
      </c>
    </row>
    <row r="4" customFormat="false" ht="15" hidden="false" customHeight="false" outlineLevel="0" collapsed="false">
      <c r="B4" s="3" t="s">
        <v>2</v>
      </c>
      <c r="C4" s="3" t="s">
        <v>161</v>
      </c>
      <c r="D4" s="3" t="s">
        <v>3</v>
      </c>
      <c r="E4" s="3" t="s">
        <v>4</v>
      </c>
      <c r="F4" s="3" t="s">
        <v>148</v>
      </c>
    </row>
    <row r="6" customFormat="false" ht="15" hidden="false" customHeight="false" outlineLevel="0" collapsed="false">
      <c r="B6" s="4" t="s">
        <v>496</v>
      </c>
      <c r="C6" s="5"/>
      <c r="D6" s="5"/>
      <c r="E6" s="5"/>
      <c r="F6" s="5"/>
    </row>
    <row r="7" customFormat="false" ht="15" hidden="false" customHeight="false" outlineLevel="0" collapsed="false">
      <c r="B7" s="6" t="s">
        <v>497</v>
      </c>
      <c r="C7" s="6" t="s">
        <v>302</v>
      </c>
      <c r="D7" s="13" t="n">
        <f aca="false">'3 ขนาดบ่อ'!$E$71</f>
        <v>2.1</v>
      </c>
      <c r="E7" s="6" t="s">
        <v>21</v>
      </c>
      <c r="F7" s="6"/>
    </row>
    <row r="8" customFormat="false" ht="15" hidden="false" customHeight="false" outlineLevel="0" collapsed="false">
      <c r="B8" s="6" t="s">
        <v>498</v>
      </c>
      <c r="C8" s="6" t="s">
        <v>499</v>
      </c>
      <c r="D8" s="13" t="n">
        <f aca="false">'3 ขนาดบ่อ'!$E$54</f>
        <v>0.3</v>
      </c>
      <c r="E8" s="6" t="s">
        <v>21</v>
      </c>
      <c r="F8" s="6" t="s">
        <v>500</v>
      </c>
    </row>
    <row r="9" customFormat="false" ht="15" hidden="false" customHeight="false" outlineLevel="0" collapsed="false">
      <c r="B9" s="6" t="s">
        <v>501</v>
      </c>
      <c r="C9" s="6" t="s">
        <v>502</v>
      </c>
      <c r="D9" s="28" t="n">
        <f aca="false">'7 แบบพับ'!$D$7+'7 แบบพับ'!$D$8</f>
        <v>2.4</v>
      </c>
      <c r="E9" s="6" t="s">
        <v>21</v>
      </c>
      <c r="F9" s="6"/>
    </row>
    <row r="10" customFormat="false" ht="15" hidden="false" customHeight="false" outlineLevel="0" collapsed="false">
      <c r="B10" s="6" t="s">
        <v>503</v>
      </c>
      <c r="C10" s="6" t="s">
        <v>504</v>
      </c>
      <c r="D10" s="13" t="n">
        <f aca="false">MAX('7 แบบพับ'!$D$8,'3 ขนาดบ่อ'!$E$41)</f>
        <v>0.5</v>
      </c>
      <c r="E10" s="6" t="s">
        <v>21</v>
      </c>
      <c r="F10" s="6" t="s">
        <v>505</v>
      </c>
    </row>
    <row r="11" customFormat="false" ht="15" hidden="false" customHeight="false" outlineLevel="0" collapsed="false">
      <c r="B11" s="6" t="s">
        <v>506</v>
      </c>
      <c r="C11" s="6" t="s">
        <v>507</v>
      </c>
      <c r="D11" s="28" t="n">
        <f aca="false">'7 แบบพับ'!$D$10+'3 ขนาดบ่อ'!$E$15+'1 ข้อมูล'!$C$54+'3 ขนาดบ่อ'!$E$33</f>
        <v>3</v>
      </c>
      <c r="E11" s="6" t="s">
        <v>21</v>
      </c>
      <c r="F11" s="6"/>
    </row>
    <row r="12" customFormat="false" ht="15" hidden="false" customHeight="false" outlineLevel="0" collapsed="false">
      <c r="B12" s="6" t="s">
        <v>508</v>
      </c>
      <c r="C12" s="6" t="s">
        <v>509</v>
      </c>
      <c r="D12" s="28" t="n">
        <f aca="false">MAX('7 แบบพับ'!$D$9,'7 แบบพับ'!$D$11)</f>
        <v>3</v>
      </c>
      <c r="E12" s="6" t="s">
        <v>21</v>
      </c>
      <c r="F12" s="6"/>
    </row>
    <row r="13" customFormat="false" ht="26.85" hidden="false" customHeight="false" outlineLevel="0" collapsed="false">
      <c r="B13" s="6" t="s">
        <v>510</v>
      </c>
      <c r="C13" s="6" t="s">
        <v>511</v>
      </c>
      <c r="D13" s="13" t="n">
        <f aca="false">'7 แบบพับ'!$D$12-'7 แบบพับ'!$D$9</f>
        <v>0.6</v>
      </c>
      <c r="E13" s="6" t="s">
        <v>21</v>
      </c>
      <c r="F13" s="6" t="s">
        <v>512</v>
      </c>
    </row>
    <row r="14" customFormat="false" ht="15" hidden="false" customHeight="false" outlineLevel="0" collapsed="false">
      <c r="B14" s="6" t="s">
        <v>513</v>
      </c>
      <c r="C14" s="6" t="s">
        <v>514</v>
      </c>
      <c r="D14" s="13" t="n">
        <f aca="false">2*'3 ขนาดบ่อ'!$E$14+'1 ข้อมูล'!$C$54</f>
        <v>2.7</v>
      </c>
      <c r="E14" s="6" t="s">
        <v>21</v>
      </c>
      <c r="F14" s="6"/>
    </row>
    <row r="16" customFormat="false" ht="15" hidden="false" customHeight="false" outlineLevel="0" collapsed="false">
      <c r="B16" s="4" t="s">
        <v>515</v>
      </c>
      <c r="C16" s="5"/>
      <c r="D16" s="5"/>
      <c r="E16" s="5"/>
      <c r="F16" s="5"/>
    </row>
    <row r="17" customFormat="false" ht="15" hidden="false" customHeight="false" outlineLevel="0" collapsed="false">
      <c r="B17" s="29"/>
      <c r="C17" s="29" t="s">
        <v>516</v>
      </c>
      <c r="D17" s="29" t="s">
        <v>517</v>
      </c>
      <c r="E17" s="29" t="s">
        <v>518</v>
      </c>
      <c r="F17" s="29"/>
    </row>
    <row r="18" customFormat="false" ht="15" hidden="false" customHeight="false" outlineLevel="0" collapsed="false">
      <c r="B18" s="6" t="s">
        <v>519</v>
      </c>
      <c r="C18" s="13" t="n">
        <f aca="false">'3 ขนาดบ่อ'!$E$136</f>
        <v>6</v>
      </c>
      <c r="D18" s="13" t="n">
        <f aca="false">'7 แบบพับ'!$D$12+2*'1 ข้อมูล'!$C$54</f>
        <v>3.4</v>
      </c>
      <c r="E18" s="13" t="n">
        <f aca="false">'7 แบบพับ'!$D$12+2*'1 ข้อมูล'!$C$54</f>
        <v>3.4</v>
      </c>
      <c r="F18" s="6"/>
    </row>
    <row r="19" customFormat="false" ht="15" hidden="false" customHeight="false" outlineLevel="0" collapsed="false">
      <c r="B19" s="6" t="s">
        <v>520</v>
      </c>
      <c r="C19" s="13" t="n">
        <f aca="false">'3 ขนาดบ่อ'!$E$137</f>
        <v>1.65</v>
      </c>
      <c r="D19" s="13" t="n">
        <f aca="false">'7 แบบพับ'!$D$14+2*'1 ข้อมูล'!$C$54</f>
        <v>3.1</v>
      </c>
      <c r="E19" s="13" t="n">
        <f aca="false">'7 แบบพับ'!$D$14+2*'1 ข้อมูล'!$C$54</f>
        <v>3.1</v>
      </c>
      <c r="F19" s="6"/>
    </row>
    <row r="20" customFormat="false" ht="15" hidden="false" customHeight="false" outlineLevel="0" collapsed="false">
      <c r="B20" s="6" t="s">
        <v>521</v>
      </c>
      <c r="C20" s="13" t="n">
        <f aca="false">'3 ขนาดบ่อ'!$E$136*'3 ขนาดบ่อ'!$E$137</f>
        <v>9.9</v>
      </c>
      <c r="D20" s="13" t="n">
        <f aca="false">('7 แบบพับ'!$D$12+2*'1 ข้อมูล'!$C$54)*('7 แบบพับ'!$D$14+2*'1 ข้อมูล'!$C$54)</f>
        <v>10.54</v>
      </c>
      <c r="E20" s="13" t="n">
        <f aca="false">('7 แบบพับ'!$D$9+2*'1 ข้อมูล'!$C$54)*('7 แบบพับ'!$D$14+2*'1 ข้อมูล'!$C$54)+('7 แบบพับ'!$D$12-'7 แบบพับ'!$D$9)*('3 ขนาดบ่อ'!$E$14+2*'1 ข้อมูล'!$C$54)</f>
        <v>9.67</v>
      </c>
      <c r="F20" s="6"/>
    </row>
    <row r="21" customFormat="false" ht="15" hidden="false" customHeight="false" outlineLevel="0" collapsed="false">
      <c r="B21" s="6" t="s">
        <v>522</v>
      </c>
      <c r="C21" s="13" t="n">
        <f aca="false">2*('3 ขนาดบ่อ'!$E$132+'1 ข้อมูล'!$C$54+'3 ขนาดบ่อ'!$E$133+'1 ข้อมูล'!$C$54)*'1 ข้อมูล'!$C$54*'3 ขนาดบ่อ'!$E$92</f>
        <v>3.48</v>
      </c>
      <c r="D21" s="13" t="n">
        <f aca="false">2*('7 แบบพับ'!$D$12+'1 ข้อมูล'!$C$54+'7 แบบพับ'!$D$14+'1 ข้อมูล'!$C$54)*'1 ข้อมูล'!$C$54*'3 ขนาดบ่อ'!$E$92</f>
        <v>2.928</v>
      </c>
      <c r="E21" s="13" t="n">
        <f aca="false">2*('7 แบบพับ'!$D$12+'1 ข้อมูล'!$C$54+'7 แบบพับ'!$D$14+'1 ข้อมูล'!$C$54)*'1 ข้อมูล'!$C$54*'3 ขนาดบ่อ'!$E$92</f>
        <v>2.928</v>
      </c>
      <c r="F21" s="6"/>
    </row>
    <row r="22" customFormat="false" ht="15" hidden="false" customHeight="false" outlineLevel="0" collapsed="false">
      <c r="B22" s="6" t="s">
        <v>523</v>
      </c>
      <c r="C22" s="13" t="n">
        <f aca="false">0</f>
        <v>0</v>
      </c>
      <c r="D22" s="13" t="n">
        <f aca="false">('7 แบบพับ'!$D$12-'7 แบบพับ'!$D$8)*'1 ข้อมูล'!$C$54*'3 ขนาดบ่อ'!$E$92</f>
        <v>0.648</v>
      </c>
      <c r="E22" s="13" t="n">
        <f aca="false">'7 แบบพับ'!$D$7*'1 ข้อมูล'!$C$54*'3 ขนาดบ่อ'!$E$92</f>
        <v>0.504</v>
      </c>
      <c r="F22" s="6"/>
    </row>
    <row r="23" customFormat="false" ht="15" hidden="false" customHeight="false" outlineLevel="0" collapsed="false">
      <c r="B23" s="6" t="s">
        <v>524</v>
      </c>
      <c r="C23" s="13" t="n">
        <f aca="false">'3 ขนาดบ่อ'!$E$136*'3 ขนาดบ่อ'!$E$137*'1 ข้อมูล'!$C$55</f>
        <v>1.98</v>
      </c>
      <c r="D23" s="13" t="n">
        <f aca="false">('7 แบบพับ'!$D$12+2*'1 ข้อมูล'!$C$54)*('7 แบบพับ'!$D$14+2*'1 ข้อมูล'!$C$54)*'1 ข้อมูล'!$C$55</f>
        <v>2.108</v>
      </c>
      <c r="E23" s="13" t="n">
        <f aca="false">(('7 แบบพับ'!$D$9+2*'1 ข้อมูล'!$C$54)*('7 แบบพับ'!$D$14+2*'1 ข้อมูล'!$C$54)+('7 แบบพับ'!$D$12-'7 แบบพับ'!$D$9)*('3 ขนาดบ่อ'!$E$14+2*'1 ข้อมูล'!$C$54))*'1 ข้อมูล'!$C$55</f>
        <v>1.934</v>
      </c>
      <c r="F23" s="6"/>
    </row>
    <row r="24" customFormat="false" ht="15" hidden="false" customHeight="false" outlineLevel="0" collapsed="false">
      <c r="B24" s="6" t="s">
        <v>525</v>
      </c>
      <c r="C24" s="28" t="n">
        <f aca="false">SUM(C21:C23)</f>
        <v>5.46</v>
      </c>
      <c r="D24" s="28" t="n">
        <f aca="false">SUM(D21:D23)</f>
        <v>5.684</v>
      </c>
      <c r="E24" s="28" t="n">
        <f aca="false">SUM(E21:E23)</f>
        <v>5.366</v>
      </c>
      <c r="F24" s="6" t="s">
        <v>526</v>
      </c>
    </row>
    <row r="25" customFormat="false" ht="15" hidden="false" customHeight="false" outlineLevel="0" collapsed="false">
      <c r="B25" s="6" t="s">
        <v>527</v>
      </c>
      <c r="C25" s="6" t="s">
        <v>112</v>
      </c>
      <c r="D25" s="30" t="n">
        <f aca="false">1-D18/C18</f>
        <v>0.433333333333333</v>
      </c>
      <c r="E25" s="30" t="n">
        <f aca="false">1-E18/C18</f>
        <v>0.433333333333333</v>
      </c>
      <c r="F25" s="6"/>
    </row>
    <row r="28" customFormat="false" ht="15" hidden="false" customHeight="false" outlineLevel="0" collapsed="false">
      <c r="B28" s="4" t="s">
        <v>528</v>
      </c>
      <c r="C28" s="5"/>
      <c r="D28" s="5"/>
      <c r="E28" s="5"/>
      <c r="F28" s="5"/>
    </row>
    <row r="29" customFormat="false" ht="15" hidden="false" customHeight="false" outlineLevel="0" collapsed="false">
      <c r="B29" s="31" t="s">
        <v>529</v>
      </c>
      <c r="C29" s="6" t="s">
        <v>530</v>
      </c>
      <c r="D29" s="6"/>
      <c r="E29" s="6"/>
      <c r="F29" s="6"/>
    </row>
    <row r="30" customFormat="false" ht="26.85" hidden="false" customHeight="false" outlineLevel="0" collapsed="false">
      <c r="B30" s="31" t="s">
        <v>531</v>
      </c>
      <c r="C30" s="6" t="s">
        <v>532</v>
      </c>
      <c r="D30" s="6"/>
      <c r="E30" s="6"/>
      <c r="F30" s="6"/>
    </row>
    <row r="31" customFormat="false" ht="26.85" hidden="false" customHeight="false" outlineLevel="0" collapsed="false">
      <c r="B31" s="31" t="s">
        <v>533</v>
      </c>
      <c r="C31" s="6" t="s">
        <v>534</v>
      </c>
      <c r="D31" s="6"/>
      <c r="E31" s="6"/>
      <c r="F31" s="6"/>
    </row>
    <row r="32" customFormat="false" ht="15" hidden="false" customHeight="false" outlineLevel="0" collapsed="false">
      <c r="B32" s="31" t="s">
        <v>535</v>
      </c>
      <c r="C32" s="6" t="s">
        <v>536</v>
      </c>
      <c r="D32" s="6"/>
      <c r="E32" s="6"/>
      <c r="F32" s="6"/>
    </row>
    <row r="33" customFormat="false" ht="26.85" hidden="false" customHeight="false" outlineLevel="0" collapsed="false">
      <c r="B33" s="32" t="s">
        <v>537</v>
      </c>
      <c r="C33" s="6" t="s">
        <v>538</v>
      </c>
      <c r="D33" s="6"/>
      <c r="E33" s="6"/>
      <c r="F33" s="6"/>
    </row>
    <row r="34" customFormat="false" ht="26.85" hidden="false" customHeight="false" outlineLevel="0" collapsed="false">
      <c r="B34" s="32" t="s">
        <v>539</v>
      </c>
      <c r="C34" s="6" t="s">
        <v>540</v>
      </c>
      <c r="D34" s="6"/>
      <c r="E34" s="6"/>
      <c r="F34" s="6"/>
    </row>
    <row r="35" customFormat="false" ht="26.85" hidden="false" customHeight="false" outlineLevel="0" collapsed="false">
      <c r="B35" s="32" t="s">
        <v>541</v>
      </c>
      <c r="C35" s="6" t="s">
        <v>542</v>
      </c>
      <c r="D35" s="6"/>
      <c r="E35" s="6"/>
      <c r="F35" s="6"/>
    </row>
    <row r="36" customFormat="false" ht="15" hidden="false" customHeight="false" outlineLevel="0" collapsed="false">
      <c r="B36" s="32" t="s">
        <v>543</v>
      </c>
      <c r="C36" s="6" t="s">
        <v>544</v>
      </c>
      <c r="D36" s="6"/>
      <c r="E36" s="6"/>
      <c r="F3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40"/>
    <col collapsed="false" customWidth="true" hidden="false" outlineLevel="0" max="8" min="8" style="0" width="16"/>
    <col collapsed="false" customWidth="true" hidden="false" outlineLevel="0" max="9" min="9" style="0" width="22"/>
  </cols>
  <sheetData>
    <row r="1" customFormat="false" ht="18.65" hidden="false" customHeight="false" outlineLevel="0" collapsed="false">
      <c r="B1" s="1" t="s">
        <v>545</v>
      </c>
    </row>
    <row r="2" customFormat="false" ht="15" hidden="false" customHeight="false" outlineLevel="0" collapsed="false">
      <c r="B2" s="2" t="s">
        <v>546</v>
      </c>
    </row>
    <row r="4" customFormat="false" ht="26.85" hidden="false" customHeight="false" outlineLevel="0" collapsed="false">
      <c r="B4" s="3" t="s">
        <v>547</v>
      </c>
      <c r="C4" s="3" t="s">
        <v>548</v>
      </c>
      <c r="D4" s="3" t="s">
        <v>549</v>
      </c>
      <c r="E4" s="3" t="s">
        <v>550</v>
      </c>
      <c r="F4" s="3" t="s">
        <v>551</v>
      </c>
      <c r="G4" s="3" t="s">
        <v>552</v>
      </c>
      <c r="H4" s="3" t="s">
        <v>553</v>
      </c>
      <c r="I4" s="3" t="s">
        <v>554</v>
      </c>
    </row>
    <row r="5" customFormat="false" ht="15" hidden="false" customHeight="false" outlineLevel="0" collapsed="false">
      <c r="B5" s="33" t="s">
        <v>555</v>
      </c>
      <c r="C5" s="6" t="s">
        <v>556</v>
      </c>
      <c r="D5" s="6" t="s">
        <v>557</v>
      </c>
      <c r="E5" s="6" t="s">
        <v>558</v>
      </c>
      <c r="F5" s="24" t="n">
        <f aca="false">'1 ข้อมูล'!$C$11/3600</f>
        <v>0.0174421296296296</v>
      </c>
      <c r="G5" s="6" t="s">
        <v>559</v>
      </c>
      <c r="H5" s="13"/>
      <c r="I5" s="18"/>
    </row>
    <row r="6" customFormat="false" ht="15" hidden="false" customHeight="false" outlineLevel="0" collapsed="false">
      <c r="B6" s="33" t="s">
        <v>560</v>
      </c>
      <c r="C6" s="6" t="s">
        <v>561</v>
      </c>
      <c r="D6" s="6" t="s">
        <v>562</v>
      </c>
      <c r="E6" s="6" t="s">
        <v>558</v>
      </c>
      <c r="F6" s="24" t="n">
        <f aca="false">1.5*F5</f>
        <v>0.0261631944444444</v>
      </c>
      <c r="G6" s="6" t="s">
        <v>563</v>
      </c>
      <c r="H6" s="13"/>
      <c r="I6" s="18"/>
    </row>
    <row r="7" customFormat="false" ht="15" hidden="false" customHeight="false" outlineLevel="0" collapsed="false">
      <c r="B7" s="33" t="s">
        <v>564</v>
      </c>
      <c r="C7" s="6" t="s">
        <v>565</v>
      </c>
      <c r="D7" s="6" t="s">
        <v>566</v>
      </c>
      <c r="E7" s="6" t="s">
        <v>558</v>
      </c>
      <c r="F7" s="24" t="n">
        <f aca="false">'1 ข้อมูล'!$C$10/3600</f>
        <v>0.0180555555555556</v>
      </c>
      <c r="G7" s="6" t="s">
        <v>567</v>
      </c>
      <c r="H7" s="13"/>
      <c r="I7" s="18"/>
    </row>
    <row r="8" customFormat="false" ht="15" hidden="false" customHeight="false" outlineLevel="0" collapsed="false">
      <c r="B8" s="33" t="s">
        <v>568</v>
      </c>
      <c r="C8" s="6" t="s">
        <v>569</v>
      </c>
      <c r="D8" s="6" t="s">
        <v>570</v>
      </c>
      <c r="E8" s="6"/>
      <c r="F8" s="24" t="n">
        <v>1</v>
      </c>
      <c r="G8" s="6" t="s">
        <v>571</v>
      </c>
      <c r="H8" s="13" t="s">
        <v>555</v>
      </c>
      <c r="I8" s="18"/>
    </row>
    <row r="9" customFormat="false" ht="15" hidden="false" customHeight="false" outlineLevel="0" collapsed="false">
      <c r="B9" s="33" t="s">
        <v>572</v>
      </c>
      <c r="C9" s="6" t="s">
        <v>573</v>
      </c>
      <c r="D9" s="6" t="s">
        <v>574</v>
      </c>
      <c r="E9" s="6" t="s">
        <v>558</v>
      </c>
      <c r="F9" s="24" t="n">
        <f aca="false">F7/F8</f>
        <v>0.0180555555555556</v>
      </c>
      <c r="G9" s="6" t="s">
        <v>575</v>
      </c>
      <c r="H9" s="13" t="n">
        <f aca="false">'2 เวียร์'!$D$12</f>
        <v>0.0180555555555556</v>
      </c>
      <c r="I9" s="18"/>
    </row>
    <row r="10" customFormat="false" ht="15" hidden="false" customHeight="false" outlineLevel="0" collapsed="false">
      <c r="B10" s="33" t="s">
        <v>576</v>
      </c>
      <c r="C10" s="6" t="s">
        <v>577</v>
      </c>
      <c r="D10" s="6"/>
      <c r="E10" s="6" t="s">
        <v>21</v>
      </c>
      <c r="F10" s="28" t="n">
        <f aca="false">F12*2*1.1</f>
        <v>0.38512069192404</v>
      </c>
      <c r="G10" s="6" t="s">
        <v>578</v>
      </c>
      <c r="H10" s="13" t="n">
        <f aca="false">('3 ขนาดบ่อ'!$E$14-'3 ขนาดบ่อ'!$E$11)/2</f>
        <v>0.365</v>
      </c>
      <c r="I10" s="18" t="str">
        <f aca="false">IF(H10&gt;=2*F12,"ผ่าน ✔","ไม่ผ่าน ✘ (ต้อง ≥ 2Hmax)")</f>
        <v>ผ่าน ✔</v>
      </c>
    </row>
    <row r="11" customFormat="false" ht="15" hidden="false" customHeight="false" outlineLevel="0" collapsed="false">
      <c r="B11" s="33" t="s">
        <v>579</v>
      </c>
      <c r="C11" s="6" t="s">
        <v>474</v>
      </c>
      <c r="D11" s="6"/>
      <c r="E11" s="6" t="s">
        <v>21</v>
      </c>
      <c r="F11" s="28" t="n">
        <f aca="false">F12*2</f>
        <v>0.350109719930946</v>
      </c>
      <c r="G11" s="6" t="s">
        <v>580</v>
      </c>
      <c r="H11" s="13" t="n">
        <f aca="false">'3 ขนาดบ่อ'!$E$9</f>
        <v>0.5</v>
      </c>
      <c r="I11" s="18" t="str">
        <f aca="false">IF(H11&gt;=2*F12,"ผ่าน ✔","ไม่ผ่าน ✘")</f>
        <v>ผ่าน ✔</v>
      </c>
    </row>
    <row r="12" customFormat="false" ht="26.85" hidden="false" customHeight="false" outlineLevel="0" collapsed="false">
      <c r="B12" s="33" t="s">
        <v>581</v>
      </c>
      <c r="C12" s="6" t="s">
        <v>582</v>
      </c>
      <c r="D12" s="6"/>
      <c r="E12" s="6" t="s">
        <v>21</v>
      </c>
      <c r="F12" s="28" t="n">
        <f aca="false">(F9/1.36)^(1/2.48)</f>
        <v>0.175054859965473</v>
      </c>
      <c r="G12" s="6" t="s">
        <v>583</v>
      </c>
      <c r="H12" s="13" t="n">
        <f aca="false">'3 ขนาดบ่อ'!$E$7</f>
        <v>0.176478867353208</v>
      </c>
      <c r="I12" s="18" t="s">
        <v>584</v>
      </c>
    </row>
    <row r="13" customFormat="false" ht="15" hidden="false" customHeight="false" outlineLevel="0" collapsed="false">
      <c r="B13" s="33" t="s">
        <v>585</v>
      </c>
      <c r="C13" s="6" t="s">
        <v>586</v>
      </c>
      <c r="D13" s="6"/>
      <c r="E13" s="6"/>
      <c r="F13" s="28" t="n">
        <f aca="false">F11/2</f>
        <v>0.175054859965473</v>
      </c>
      <c r="G13" s="6" t="str">
        <f aca="false">"Check P/2 ≥ Hmax: "&amp;IF(F13&gt;=F12,"✔","✘")</f>
        <v>Check P/2 ≥ Hmax: ✔</v>
      </c>
      <c r="H13" s="13"/>
      <c r="I13" s="18"/>
    </row>
    <row r="14" customFormat="false" ht="15" hidden="false" customHeight="false" outlineLevel="0" collapsed="false">
      <c r="B14" s="33" t="s">
        <v>587</v>
      </c>
      <c r="C14" s="6" t="s">
        <v>588</v>
      </c>
      <c r="D14" s="6"/>
      <c r="E14" s="6"/>
      <c r="F14" s="28" t="n">
        <f aca="false">F10/2</f>
        <v>0.19256034596202</v>
      </c>
      <c r="G14" s="6" t="str">
        <f aca="false">"Check b/2 ≥ Hmax: "&amp;IF(F14&gt;=F12,"✔","✘")</f>
        <v>Check b/2 ≥ Hmax: ✔</v>
      </c>
      <c r="H14" s="13"/>
      <c r="I14" s="18"/>
    </row>
    <row r="15" customFormat="false" ht="26.85" hidden="false" customHeight="false" outlineLevel="0" collapsed="false">
      <c r="B15" s="33" t="s">
        <v>589</v>
      </c>
      <c r="C15" s="6" t="s">
        <v>590</v>
      </c>
      <c r="D15" s="6"/>
      <c r="E15" s="6" t="s">
        <v>21</v>
      </c>
      <c r="F15" s="28" t="n">
        <f aca="false">F12*3</f>
        <v>0.525164579896418</v>
      </c>
      <c r="G15" s="6" t="s">
        <v>591</v>
      </c>
      <c r="H15" s="13" t="n">
        <f aca="false">'3 ขนาดบ่อ'!$E$16</f>
        <v>0.8</v>
      </c>
      <c r="I15" s="18" t="str">
        <f aca="false">IF(AND(H15&gt;=3*F12,H15&lt;=5*F12),"ผ่าน ✔ (อยู่ใน 3–5 Hmax)","ไม่ผ่าน ✘")</f>
        <v>ผ่าน ✔ (อยู่ใน 3–5 Hmax)</v>
      </c>
    </row>
    <row r="16" customFormat="false" ht="15" hidden="false" customHeight="false" outlineLevel="0" collapsed="false">
      <c r="B16" s="33" t="s">
        <v>592</v>
      </c>
      <c r="C16" s="6" t="s">
        <v>593</v>
      </c>
      <c r="D16" s="6"/>
      <c r="E16" s="6" t="s">
        <v>21</v>
      </c>
      <c r="F16" s="28" t="n">
        <f aca="false">F12*1.2</f>
        <v>0.210065831958567</v>
      </c>
      <c r="G16" s="6" t="s">
        <v>594</v>
      </c>
      <c r="H16" s="13" t="n">
        <f aca="false">'3 ขนาดบ่อ'!$E$10</f>
        <v>0.26</v>
      </c>
      <c r="I16" s="18" t="str">
        <f aca="false">IF(H16&gt;=1.2*F12,"ผ่าน ✔","ไม่ผ่าน ✘")</f>
        <v>ผ่าน ✔</v>
      </c>
    </row>
    <row r="17" customFormat="false" ht="26.85" hidden="false" customHeight="false" outlineLevel="0" collapsed="false">
      <c r="B17" s="33" t="s">
        <v>595</v>
      </c>
      <c r="C17" s="6" t="s">
        <v>433</v>
      </c>
      <c r="D17" s="6"/>
      <c r="E17" s="6" t="s">
        <v>21</v>
      </c>
      <c r="F17" s="28" t="n">
        <f aca="false">F10*2+2*F16/TAN(RADIANS(45))</f>
        <v>1.19037304776522</v>
      </c>
      <c r="G17" s="6" t="s">
        <v>596</v>
      </c>
      <c r="H17" s="13" t="n">
        <f aca="false">'3 ขนาดบ่อ'!$E$14</f>
        <v>1.25</v>
      </c>
      <c r="I17" s="18" t="str">
        <f aca="false">IF(H17&gt;=F17,"ผ่าน ✔","แคบกว่า ✘")</f>
        <v>ผ่าน ✔</v>
      </c>
    </row>
    <row r="19" customFormat="false" ht="15" hidden="false" customHeight="false" outlineLevel="0" collapsed="false">
      <c r="B19" s="4" t="s">
        <v>148</v>
      </c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B20" s="23" t="s">
        <v>597</v>
      </c>
    </row>
    <row r="21" customFormat="false" ht="15" hidden="false" customHeight="false" outlineLevel="0" collapsed="false">
      <c r="B21" s="23" t="s">
        <v>598</v>
      </c>
    </row>
    <row r="22" customFormat="false" ht="15" hidden="false" customHeight="false" outlineLevel="0" collapsed="false">
      <c r="B22" s="23" t="s">
        <v>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" min="3" style="0" width="16"/>
    <col collapsed="false" customWidth="true" hidden="false" outlineLevel="0" max="7" min="7" style="0" width="30"/>
  </cols>
  <sheetData>
    <row r="1" customFormat="false" ht="18.65" hidden="false" customHeight="false" outlineLevel="0" collapsed="false">
      <c r="B1" s="1" t="s">
        <v>600</v>
      </c>
    </row>
    <row r="2" customFormat="false" ht="15" hidden="false" customHeight="false" outlineLevel="0" collapsed="false">
      <c r="B2" s="2" t="s">
        <v>601</v>
      </c>
    </row>
    <row r="4" customFormat="false" ht="15" hidden="false" customHeight="false" outlineLevel="0" collapsed="false">
      <c r="B4" s="3" t="s">
        <v>602</v>
      </c>
      <c r="C4" s="3" t="s">
        <v>3</v>
      </c>
      <c r="D4" s="3" t="s">
        <v>4</v>
      </c>
      <c r="E4" s="3"/>
      <c r="F4" s="3"/>
      <c r="G4" s="3" t="s">
        <v>148</v>
      </c>
    </row>
    <row r="5" customFormat="false" ht="15" hidden="false" customHeight="false" outlineLevel="0" collapsed="false">
      <c r="B5" s="6" t="s">
        <v>603</v>
      </c>
      <c r="C5" s="16" t="n">
        <f aca="false">'1 ข้อมูล'!$C$34</f>
        <v>15</v>
      </c>
      <c r="D5" s="6" t="s">
        <v>64</v>
      </c>
      <c r="E5" s="6"/>
      <c r="F5" s="6"/>
      <c r="G5" s="6" t="s">
        <v>604</v>
      </c>
    </row>
    <row r="6" customFormat="false" ht="26.85" hidden="false" customHeight="false" outlineLevel="0" collapsed="false">
      <c r="B6" s="6" t="s">
        <v>605</v>
      </c>
      <c r="C6" s="34" t="n">
        <f aca="false">'1 ข้อมูล'!$C$11</f>
        <v>62.7916666666667</v>
      </c>
      <c r="D6" s="6" t="s">
        <v>11</v>
      </c>
      <c r="E6" s="6"/>
      <c r="F6" s="6"/>
      <c r="G6" s="6" t="s">
        <v>606</v>
      </c>
    </row>
    <row r="7" customFormat="false" ht="15" hidden="false" customHeight="false" outlineLevel="0" collapsed="false">
      <c r="B7" s="6" t="s">
        <v>607</v>
      </c>
      <c r="C7" s="10" t="n">
        <v>0.09</v>
      </c>
      <c r="D7" s="6" t="s">
        <v>71</v>
      </c>
      <c r="E7" s="6"/>
      <c r="F7" s="6"/>
      <c r="G7" s="6" t="s">
        <v>72</v>
      </c>
    </row>
    <row r="8" customFormat="false" ht="26.85" hidden="false" customHeight="false" outlineLevel="0" collapsed="false">
      <c r="B8" s="6" t="s">
        <v>608</v>
      </c>
      <c r="C8" s="35" t="n">
        <f aca="false">'3 ขนาดบ่อ'!$E$53+'4 ช่องโชว์น้ำ'!$F$6/100+1.5*'4 ช่องโชว์น้ำ'!$G$6^2/(2*'1 ข้อมูล'!$C$59)</f>
        <v>0.957941608382971</v>
      </c>
      <c r="D8" s="6" t="s">
        <v>21</v>
      </c>
      <c r="E8" s="6"/>
      <c r="F8" s="6"/>
      <c r="G8" s="6" t="s">
        <v>609</v>
      </c>
    </row>
    <row r="9" customFormat="false" ht="15" hidden="false" customHeight="false" outlineLevel="0" collapsed="false">
      <c r="B9" s="6" t="s">
        <v>610</v>
      </c>
      <c r="C9" s="28" t="n">
        <f aca="false">C6*C5/60+C7</f>
        <v>15.7879166666667</v>
      </c>
      <c r="D9" s="6" t="s">
        <v>71</v>
      </c>
      <c r="E9" s="6"/>
      <c r="F9" s="6"/>
      <c r="G9" s="6" t="s">
        <v>611</v>
      </c>
    </row>
    <row r="12" customFormat="false" ht="15" hidden="false" customHeight="false" outlineLevel="0" collapsed="false">
      <c r="B12" s="4" t="s">
        <v>612</v>
      </c>
      <c r="C12" s="5"/>
      <c r="D12" s="5"/>
      <c r="E12" s="5"/>
      <c r="F12" s="5"/>
      <c r="G12" s="5"/>
    </row>
    <row r="13" customFormat="false" ht="15" hidden="false" customHeight="false" outlineLevel="0" collapsed="false">
      <c r="B13" s="3" t="s">
        <v>2</v>
      </c>
      <c r="C13" s="3" t="s">
        <v>613</v>
      </c>
      <c r="D13" s="3" t="s">
        <v>614</v>
      </c>
      <c r="E13" s="3" t="s">
        <v>4</v>
      </c>
      <c r="F13" s="3"/>
      <c r="G13" s="3" t="s">
        <v>161</v>
      </c>
    </row>
    <row r="14" customFormat="false" ht="26.85" hidden="false" customHeight="false" outlineLevel="0" collapsed="false">
      <c r="B14" s="6" t="s">
        <v>66</v>
      </c>
      <c r="C14" s="36" t="n">
        <f aca="false">'1 ข้อมูล'!$C$35</f>
        <v>-1.2</v>
      </c>
      <c r="D14" s="36" t="n">
        <v>-1</v>
      </c>
      <c r="E14" s="6" t="s">
        <v>21</v>
      </c>
      <c r="F14" s="6"/>
      <c r="G14" s="6" t="s">
        <v>615</v>
      </c>
    </row>
    <row r="15" customFormat="false" ht="15" hidden="false" customHeight="false" outlineLevel="0" collapsed="false">
      <c r="B15" s="6" t="s">
        <v>616</v>
      </c>
      <c r="C15" s="13" t="n">
        <f aca="false">'1 ข้อมูล'!$C$36</f>
        <v>3.5</v>
      </c>
      <c r="D15" s="13" t="n">
        <v>2.5</v>
      </c>
      <c r="E15" s="6" t="s">
        <v>21</v>
      </c>
      <c r="F15" s="6"/>
      <c r="G15" s="6" t="s">
        <v>617</v>
      </c>
    </row>
    <row r="16" customFormat="false" ht="15" hidden="false" customHeight="false" outlineLevel="0" collapsed="false">
      <c r="B16" s="6" t="s">
        <v>618</v>
      </c>
      <c r="C16" s="13" t="n">
        <f aca="false">$C$8-C14</f>
        <v>2.15794160838297</v>
      </c>
      <c r="D16" s="13" t="n">
        <f aca="false">$C$8-D14</f>
        <v>1.95794160838297</v>
      </c>
      <c r="E16" s="6" t="s">
        <v>21</v>
      </c>
      <c r="F16" s="6"/>
      <c r="G16" s="6" t="s">
        <v>619</v>
      </c>
    </row>
    <row r="17" customFormat="false" ht="15" hidden="false" customHeight="false" outlineLevel="0" collapsed="false">
      <c r="B17" s="6" t="s">
        <v>620</v>
      </c>
      <c r="C17" s="13" t="n">
        <f aca="false">$C$9/(C15*C16)</f>
        <v>2.0903407746577</v>
      </c>
      <c r="D17" s="13" t="n">
        <f aca="false">$C$9/(D15*D16)</f>
        <v>3.22541113566826</v>
      </c>
      <c r="E17" s="6" t="s">
        <v>21</v>
      </c>
      <c r="F17" s="6"/>
      <c r="G17" s="6" t="s">
        <v>621</v>
      </c>
    </row>
    <row r="18" customFormat="false" ht="15" hidden="false" customHeight="false" outlineLevel="0" collapsed="false">
      <c r="B18" s="6" t="s">
        <v>622</v>
      </c>
      <c r="C18" s="28" t="n">
        <f aca="false">CEILING(ROUND(C17,4),'1 ข้อมูล'!$C$14)</f>
        <v>2.1</v>
      </c>
      <c r="D18" s="28" t="n">
        <f aca="false">CEILING(ROUND(D17,4),'1 ข้อมูล'!$C$14)</f>
        <v>3.25</v>
      </c>
      <c r="E18" s="6" t="s">
        <v>21</v>
      </c>
      <c r="F18" s="6"/>
      <c r="G18" s="6" t="s">
        <v>623</v>
      </c>
    </row>
    <row r="19" customFormat="false" ht="15" hidden="false" customHeight="false" outlineLevel="0" collapsed="false">
      <c r="B19" s="6" t="s">
        <v>624</v>
      </c>
      <c r="C19" s="9" t="n">
        <f aca="false">C18*C15*C16-$C$7</f>
        <v>15.7708708216148</v>
      </c>
      <c r="D19" s="9" t="n">
        <f aca="false">D18*D15*D16-$C$7</f>
        <v>15.8182755681116</v>
      </c>
      <c r="E19" s="6" t="s">
        <v>71</v>
      </c>
      <c r="F19" s="6"/>
      <c r="G19" s="6"/>
    </row>
    <row r="20" customFormat="false" ht="15" hidden="false" customHeight="false" outlineLevel="0" collapsed="false">
      <c r="B20" s="6" t="s">
        <v>625</v>
      </c>
      <c r="C20" s="20" t="n">
        <f aca="false">C19/$C$6*60</f>
        <v>15.0697106722796</v>
      </c>
      <c r="D20" s="20" t="n">
        <f aca="false">D19/$C$6*60</f>
        <v>15.1150078421239</v>
      </c>
      <c r="E20" s="6" t="s">
        <v>64</v>
      </c>
      <c r="F20" s="6"/>
      <c r="G20" s="6"/>
    </row>
    <row r="21" customFormat="false" ht="15" hidden="false" customHeight="false" outlineLevel="0" collapsed="false">
      <c r="B21" s="6" t="s">
        <v>626</v>
      </c>
      <c r="C21" s="18" t="str">
        <f aca="false">IF(C20&gt;=$C$5,"ผ่าน ✔","ไม่ผ่าน ✘")</f>
        <v>ผ่าน ✔</v>
      </c>
      <c r="D21" s="18" t="str">
        <f aca="false">IF(D20&gt;=$C$5,"ผ่าน ✔","ไม่ผ่าน ✘")</f>
        <v>ผ่าน ✔</v>
      </c>
      <c r="E21" s="6"/>
      <c r="F21" s="6"/>
      <c r="G21" s="6"/>
    </row>
    <row r="22" customFormat="false" ht="15" hidden="false" customHeight="false" outlineLevel="0" collapsed="false">
      <c r="B22" s="6" t="s">
        <v>627</v>
      </c>
      <c r="C22" s="9" t="n">
        <f aca="false">C19/'1 ข้อมูล'!$C$8*60</f>
        <v>9.4625224929689</v>
      </c>
      <c r="D22" s="9" t="n">
        <f aca="false">D19/'1 ข้อมูล'!$C$8*60</f>
        <v>9.49096534086698</v>
      </c>
      <c r="E22" s="6" t="s">
        <v>64</v>
      </c>
      <c r="F22" s="6"/>
      <c r="G22" s="6" t="s">
        <v>320</v>
      </c>
    </row>
    <row r="23" customFormat="false" ht="26.85" hidden="false" customHeight="false" outlineLevel="0" collapsed="false">
      <c r="B23" s="6" t="s">
        <v>628</v>
      </c>
      <c r="C23" s="16" t="n">
        <f aca="false">C18*C15*($C$8-(C14+0.6))/'1 ข้อมูล'!$C$9*60</f>
        <v>68.705224929689</v>
      </c>
      <c r="D23" s="16" t="n">
        <f aca="false">D18*D15*($C$8-(D14+0.6))/'1 ข้อมูล'!$C$9*60</f>
        <v>66.1996534086699</v>
      </c>
      <c r="E23" s="6" t="s">
        <v>64</v>
      </c>
      <c r="F23" s="6"/>
      <c r="G23" s="6" t="s">
        <v>629</v>
      </c>
    </row>
    <row r="24" customFormat="false" ht="15" hidden="false" customHeight="false" outlineLevel="0" collapsed="false">
      <c r="B24" s="6" t="s">
        <v>630</v>
      </c>
      <c r="C24" s="13" t="n">
        <f aca="false">'3 ขนาดบ่อ'!$E$92-C14</f>
        <v>2.4</v>
      </c>
      <c r="D24" s="13" t="n">
        <f aca="false">'3 ขนาดบ่อ'!$E$92-D14</f>
        <v>2.2</v>
      </c>
      <c r="E24" s="6" t="s">
        <v>21</v>
      </c>
      <c r="F24" s="6"/>
      <c r="G24" s="6" t="s">
        <v>631</v>
      </c>
    </row>
    <row r="25" customFormat="false" ht="15" hidden="false" customHeight="false" outlineLevel="0" collapsed="false">
      <c r="B25" s="6" t="s">
        <v>632</v>
      </c>
      <c r="C25" s="28" t="n">
        <f aca="false">C18+'3 ขนาดบ่อ'!$E$54+'3 ขนาดบ่อ'!$E$131+2*'1 ข้อมูล'!$C$54</f>
        <v>6</v>
      </c>
      <c r="D25" s="28" t="n">
        <f aca="false">D18+'3 ขนาดบ่อ'!$E$54+'3 ขนาดบ่อ'!$E$131+2*'1 ข้อมูล'!$C$54</f>
        <v>7.15</v>
      </c>
      <c r="E25" s="6" t="s">
        <v>21</v>
      </c>
      <c r="F25" s="6"/>
      <c r="G25" s="6" t="s">
        <v>633</v>
      </c>
    </row>
    <row r="26" customFormat="false" ht="15" hidden="false" customHeight="false" outlineLevel="0" collapsed="false">
      <c r="B26" s="6" t="s">
        <v>634</v>
      </c>
      <c r="C26" s="6" t="str">
        <f aca="false">TEXT(C15+2*'1 ข้อมูล'!$C$54,"0.00")&amp;" / "&amp;TEXT('3 ขนาดบ่อ'!$E$14+2*'1 ข้อมูล'!$C$54,"0.00")</f>
        <v>3.90 / 1.65</v>
      </c>
      <c r="D26" s="6" t="str">
        <f aca="false">TEXT(D15+2*'1 ข้อมูล'!$C$54,"0.00")&amp;" / "&amp;TEXT('3 ขนาดบ่อ'!$E$14+2*'1 ข้อมูล'!$C$54,"0.00")</f>
        <v>2.90 / 1.65</v>
      </c>
      <c r="E26" s="6" t="s">
        <v>21</v>
      </c>
      <c r="F26" s="6"/>
      <c r="G26" s="6"/>
    </row>
    <row r="28" customFormat="false" ht="15" hidden="false" customHeight="false" outlineLevel="0" collapsed="false">
      <c r="B28" s="4" t="s">
        <v>635</v>
      </c>
      <c r="C28" s="5"/>
      <c r="D28" s="5"/>
      <c r="E28" s="5"/>
      <c r="F28" s="5"/>
      <c r="G28" s="5"/>
    </row>
    <row r="29" customFormat="false" ht="15" hidden="false" customHeight="false" outlineLevel="0" collapsed="false">
      <c r="B29" s="3" t="s">
        <v>636</v>
      </c>
      <c r="C29" s="3" t="n">
        <v>2.5</v>
      </c>
      <c r="D29" s="3" t="n">
        <v>3</v>
      </c>
      <c r="E29" s="3" t="n">
        <v>3.5</v>
      </c>
      <c r="F29" s="3" t="n">
        <v>4</v>
      </c>
      <c r="G29" s="3" t="s">
        <v>637</v>
      </c>
    </row>
    <row r="30" customFormat="false" ht="15" hidden="false" customHeight="false" outlineLevel="0" collapsed="false">
      <c r="B30" s="37" t="n">
        <v>-1</v>
      </c>
      <c r="C30" s="13" t="n">
        <f aca="false">$C$9/(C$29*($C$8-$B30))</f>
        <v>3.22541113566826</v>
      </c>
      <c r="D30" s="13" t="n">
        <f aca="false">$C$9/(D$29*($C$8-$B30))</f>
        <v>2.68784261305689</v>
      </c>
      <c r="E30" s="13" t="n">
        <f aca="false">$C$9/(E$29*($C$8-$B30))</f>
        <v>2.3038650969059</v>
      </c>
      <c r="F30" s="13" t="n">
        <f aca="false">$C$9/(F$29*($C$8-$B30))</f>
        <v>2.01588195979267</v>
      </c>
      <c r="G30" s="13" t="n">
        <f aca="false">$C$8-B30</f>
        <v>1.95794160838297</v>
      </c>
    </row>
    <row r="31" customFormat="false" ht="15" hidden="false" customHeight="false" outlineLevel="0" collapsed="false">
      <c r="B31" s="37" t="n">
        <v>-1.2</v>
      </c>
      <c r="C31" s="13" t="n">
        <f aca="false">$C$9/(C$29*($C$8-$B31))</f>
        <v>2.92647708452077</v>
      </c>
      <c r="D31" s="13" t="n">
        <f aca="false">$C$9/(D$29*($C$8-$B31))</f>
        <v>2.43873090376731</v>
      </c>
      <c r="E31" s="13" t="n">
        <f aca="false">$C$9/(E$29*($C$8-$B31))</f>
        <v>2.0903407746577</v>
      </c>
      <c r="F31" s="13" t="n">
        <f aca="false">$C$9/(F$29*($C$8-$B31))</f>
        <v>1.82904817782548</v>
      </c>
      <c r="G31" s="13" t="n">
        <f aca="false">$C$8-B31</f>
        <v>2.15794160838297</v>
      </c>
    </row>
    <row r="32" customFormat="false" ht="15" hidden="false" customHeight="false" outlineLevel="0" collapsed="false">
      <c r="B32" s="37" t="n">
        <v>-1.5</v>
      </c>
      <c r="C32" s="13" t="n">
        <f aca="false">$C$9/(C$29*($C$8-$B32))</f>
        <v>2.56929076147634</v>
      </c>
      <c r="D32" s="13" t="n">
        <f aca="false">$C$9/(D$29*($C$8-$B32))</f>
        <v>2.14107563456362</v>
      </c>
      <c r="E32" s="13" t="n">
        <f aca="false">$C$9/(E$29*($C$8-$B32))</f>
        <v>1.83520768676882</v>
      </c>
      <c r="F32" s="13" t="n">
        <f aca="false">$C$9/(F$29*($C$8-$B32))</f>
        <v>1.60580672592271</v>
      </c>
      <c r="G32" s="13" t="n">
        <f aca="false">$C$8-B32</f>
        <v>2.45794160838297</v>
      </c>
    </row>
    <row r="33" customFormat="false" ht="15" hidden="false" customHeight="false" outlineLevel="0" collapsed="false">
      <c r="B33" s="37" t="n">
        <v>-2</v>
      </c>
      <c r="C33" s="13" t="n">
        <f aca="false">$C$9/(C$29*($C$8-$B33))</f>
        <v>2.13498692765575</v>
      </c>
      <c r="D33" s="13" t="n">
        <f aca="false">$C$9/(D$29*($C$8-$B33))</f>
        <v>1.77915577304646</v>
      </c>
      <c r="E33" s="13" t="n">
        <f aca="false">$C$9/(E$29*($C$8-$B33))</f>
        <v>1.52499066261125</v>
      </c>
      <c r="F33" s="13" t="n">
        <f aca="false">$C$9/(F$29*($C$8-$B33))</f>
        <v>1.33436682978484</v>
      </c>
      <c r="G33" s="13" t="n">
        <f aca="false">$C$8-B33</f>
        <v>2.95794160838297</v>
      </c>
    </row>
    <row r="34" customFormat="false" ht="15" hidden="false" customHeight="false" outlineLevel="0" collapsed="false">
      <c r="B34" s="37" t="n">
        <v>-2.5</v>
      </c>
      <c r="C34" s="13" t="n">
        <f aca="false">$C$9/(C$29*($C$8-$B34))</f>
        <v>1.82627915154988</v>
      </c>
      <c r="D34" s="13" t="n">
        <f aca="false">$C$9/(D$29*($C$8-$B34))</f>
        <v>1.52189929295823</v>
      </c>
      <c r="E34" s="13" t="n">
        <f aca="false">$C$9/(E$29*($C$8-$B34))</f>
        <v>1.30448510824991</v>
      </c>
      <c r="F34" s="13" t="n">
        <f aca="false">$C$9/(F$29*($C$8-$B34))</f>
        <v>1.14142446971867</v>
      </c>
      <c r="G34" s="13" t="n">
        <f aca="false">$C$8-B34</f>
        <v>3.45794160838297</v>
      </c>
    </row>
    <row r="36" customFormat="false" ht="15" hidden="false" customHeight="false" outlineLevel="0" collapsed="false">
      <c r="B36" s="23" t="s">
        <v>638</v>
      </c>
    </row>
    <row r="37" customFormat="false" ht="15" hidden="false" customHeight="false" outlineLevel="0" collapsed="false">
      <c r="B37" s="23" t="s">
        <v>639</v>
      </c>
    </row>
    <row r="38" customFormat="false" ht="15" hidden="false" customHeight="false" outlineLevel="0" collapsed="false">
      <c r="B38" s="23" t="s">
        <v>640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2026-10-31T11:27:03Z</dcterms:created>
  <dc:creator>openpyxl</dc:creator>
  <dc:description/>
  <dc:language>en-US</dc:language>
  <cp:lastModifiedBy/>
  <dcterms:modified xsi:type="dcterms:W3CDTF">2026-10-31T11:27:03Z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