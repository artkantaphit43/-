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ข้อมูล" sheetId="1" state="visible" r:id="rId3"/>
    <sheet name="2 เวียร์" sheetId="2" state="visible" r:id="rId4"/>
    <sheet name="3 ขนาดบ่อ" sheetId="3" state="visible" r:id="rId5"/>
    <sheet name="4 ช่องโชว์น้ำ" sheetId="4" state="visible" r:id="rId6"/>
    <sheet name="5 ระดับ" sheetId="5" state="visible" r:id="rId7"/>
    <sheet name="6 ตาราง H-Q" sheetId="6" state="visible" r:id="rId8"/>
    <sheet name="7 แบบพับ" sheetId="7" state="visible" r:id="rId9"/>
    <sheet name="8 เทียบวิธี มข." sheetId="8" state="visible" r:id="rId10"/>
    <sheet name="9 HRT ช่อง 1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<sst xmlns="http://schemas.openxmlformats.org/spreadsheetml/2006/main" count="776" uniqueCount="582">
  <si>
    <t xml:space="preserve">1) ข้อมูลออกแบบ — บ่อ 3 ช่อง: ปั๊มจุ่ม | โชว์น้ำใส | V-notch 90°</t>
  </si>
  <si>
    <t xml:space="preserve">แก้เฉพาะช่องสีเหลือง (ตัวเลขสีน้ำเงิน) แล้วชีต 2–6 จะคำนวณขนาดและระดับใหม่ให้ทั้งหมด</t>
  </si>
  <si>
    <t xml:space="preserve">รายการ</t>
  </si>
  <si>
    <t xml:space="preserve">ค่า</t>
  </si>
  <si>
    <t xml:space="preserve">หน่วย</t>
  </si>
  <si>
    <t xml:space="preserve">ที่มา / หมายเหตุ</t>
  </si>
  <si>
    <t xml:space="preserve">ก. อัตราการไหล</t>
  </si>
  <si>
    <t xml:space="preserve">น้ำเข้าต่อวัน</t>
  </si>
  <si>
    <t xml:space="preserve">m³/วัน</t>
  </si>
  <si>
    <t xml:space="preserve">จาก whiteboard</t>
  </si>
  <si>
    <t xml:space="preserve">น้ำเข้าต่ำสุด</t>
  </si>
  <si>
    <t xml:space="preserve">m³/h</t>
  </si>
  <si>
    <t xml:space="preserve">จากใบเสนอราคา (50–100 m³/h)</t>
  </si>
  <si>
    <t xml:space="preserve">น้ำเข้าสูงสุด</t>
  </si>
  <si>
    <t xml:space="preserve">สูบไป Water recycle</t>
  </si>
  <si>
    <t xml:space="preserve">น้ำเข้าเฉลี่ย (= น้ำต่อวัน ÷ 24)</t>
  </si>
  <si>
    <t xml:space="preserve">คำนวณให้</t>
  </si>
  <si>
    <t xml:space="preserve">ข. เกณฑ์ออกแบบ (ค่าที่วิศวกรกำหนด แก้ได้)</t>
  </si>
  <si>
    <t xml:space="preserve">ปัดขนาดขึ้นทีละ</t>
  </si>
  <si>
    <t xml:space="preserve">m</t>
  </si>
  <si>
    <t xml:space="preserve">ให้ได้ขนาดก่อสร้างลงตัว</t>
  </si>
  <si>
    <t xml:space="preserve">เผื่อตะกอนใต้ยอด V</t>
  </si>
  <si>
    <t xml:space="preserve">บวกเพิ่มจาก P ขั้นต่ำ เผื่อตะกอนสะสมที่พื้น</t>
  </si>
  <si>
    <t xml:space="preserve">ร่อง V สูงกว่า Hmax อย่างน้อย</t>
  </si>
  <si>
    <t xml:space="preserve">กันน้ำล้นขอบร่อง</t>
  </si>
  <si>
    <t xml:space="preserve">สันช่อง 2 สูงกว่าน้ำช่อง 3 อย่างน้อย</t>
  </si>
  <si>
    <t xml:space="preserve">ให้ม่านน้ำตกอิสระ</t>
  </si>
  <si>
    <t xml:space="preserve">ความสูงสันปลาย ช่อง 2</t>
  </si>
  <si>
    <t xml:space="preserve">สูงขึ้น = ชั้นน้ำหนาขึ้น ผิวน้ำเรียบขึ้น</t>
  </si>
  <si>
    <t xml:space="preserve">ความยาวช่องโชว์น้ำ (ช่อง 2)</t>
  </si>
  <si>
    <t xml:space="preserve">เลือกตามความสวยงาม (ต้อง ≥ ค่าขั้นต่ำในชีต 3)</t>
  </si>
  <si>
    <t xml:space="preserve">ความกว้างบ่อขั้นต่ำที่เลือก</t>
  </si>
  <si>
    <t xml:space="preserve">เผื่อ b ≥ 2Hmax ไว้ถึงน้ำเข้า ~125 m³/h (ค่าตามเกณฑ์ 1.44)</t>
  </si>
  <si>
    <t xml:space="preserve">ระยะเผื่อขอบบ่อ (freeboard)</t>
  </si>
  <si>
    <t xml:space="preserve">เหนือระดับน้ำสูงสุด</t>
  </si>
  <si>
    <t xml:space="preserve">ความเร็วลอดใต้ผนังกั้น ไม่เกิน</t>
  </si>
  <si>
    <t xml:space="preserve">m/s</t>
  </si>
  <si>
    <t xml:space="preserve">ช้าพอไม่ให้น้ำพุ่งต่อไปช่อง 2</t>
  </si>
  <si>
    <t xml:space="preserve">ขนาดภายนอกท่อจุ่ม 6"</t>
  </si>
  <si>
    <t xml:space="preserve">ท่อ 6" OD 168 mm</t>
  </si>
  <si>
    <t xml:space="preserve">ระยะห่างท่อจุ่มจากผนัง (ข้างละ)</t>
  </si>
  <si>
    <t xml:space="preserve">ไว้ยึดท่อ / ซ่อมบำรุง</t>
  </si>
  <si>
    <t xml:space="preserve">ความหนาผนังกั้นลอดใต้</t>
  </si>
  <si>
    <t xml:space="preserve">คสล. หรือแผ่น SS/PP + โครง</t>
  </si>
  <si>
    <t xml:space="preserve">ความกว้างฐานปั๊มจุ่ม</t>
  </si>
  <si>
    <t xml:space="preserve">ตรวจกับสเปกปั๊มที่เลือก</t>
  </si>
  <si>
    <t xml:space="preserve">ระยะห่างปั๊มจากผนัง (ข้างละ)</t>
  </si>
  <si>
    <t xml:space="preserve">ไม่ให้เกิดกระแสวน / ยกปั๊มขึ้นซ่อมได้</t>
  </si>
  <si>
    <t xml:space="preserve">สันล้นช่อง 3 สูงกว่าช่องลอดใต้</t>
  </si>
  <si>
    <t xml:space="preserve">บังคับให้น้ำที่ลอดใต้ต้องยกตัวขึ้น</t>
  </si>
  <si>
    <t xml:space="preserve">HRT ช่อง 1 ที่ต้องการ</t>
  </si>
  <si>
    <t xml:space="preserve">นาที</t>
  </si>
  <si>
    <t xml:space="preserve">หัวหน้ากำหนด (คิดที่น้ำเข้าเฉลี่ย)</t>
  </si>
  <si>
    <t xml:space="preserve">ระดับพื้นช่อง 1</t>
  </si>
  <si>
    <t xml:space="preserve">ทางเลือก A (ขุดลึกกว่าช่อง 2–3)</t>
  </si>
  <si>
    <t xml:space="preserve">ความกว้างภายในช่อง 1</t>
  </si>
  <si>
    <t xml:space="preserve">ทางเลือก A (กว้างกว่าบ่อข้างละ 0.50)</t>
  </si>
  <si>
    <t xml:space="preserve">ปริมาตรปั๊มจุ่ม + ท่อจุ่ม (หักออก)</t>
  </si>
  <si>
    <t xml:space="preserve">m³</t>
  </si>
  <si>
    <t xml:space="preserve">ปั๊ม 0.40 × 0.40 × 0.55</t>
  </si>
  <si>
    <t xml:space="preserve">ผนังลอดใต้ / สันล้น ช่อง 3 หนา (คสล.)</t>
  </si>
  <si>
    <t xml:space="preserve">หล่อพร้อมบ่อ</t>
  </si>
  <si>
    <t xml:space="preserve">ความเร็วลอยตัวฟองอากาศ</t>
  </si>
  <si>
    <t xml:space="preserve">ฟองขนาดประมาณ 1 mm</t>
  </si>
  <si>
    <t xml:space="preserve">ระยะทำงานขั้นต่ำ (ช่องแคบสุด)</t>
  </si>
  <si>
    <t xml:space="preserve">ให้คนลงไปล้างได้</t>
  </si>
  <si>
    <t xml:space="preserve">ระยะเผื่อหลังม่านน้ำ V-notch</t>
  </si>
  <si>
    <t xml:space="preserve">ม่านน้ำไม่ชนผนังท้าย</t>
  </si>
  <si>
    <t xml:space="preserve">ขนาดภายในท่อออก 8"</t>
  </si>
  <si>
    <t xml:space="preserve">สันกำแพงเวียร์ ต่ำกว่ายอด V</t>
  </si>
  <si>
    <t xml:space="preserve">ส่วนที่เหลือเป็นแผ่น SS</t>
  </si>
  <si>
    <t xml:space="preserve">แผ่นเวียร์ทับกำแพง (ยึดพุก)</t>
  </si>
  <si>
    <t xml:space="preserve">แผ่นเวียร์สูงเหนือขอบร่อง V</t>
  </si>
  <si>
    <t xml:space="preserve">ให้แผ่นแข็งแรง</t>
  </si>
  <si>
    <t xml:space="preserve">แผ่นเวียร์ฝังร่องผนัง (ข้างละ)</t>
  </si>
  <si>
    <t xml:space="preserve">ครึ่งหนึ่งของผนัง 0.20</t>
  </si>
  <si>
    <t xml:space="preserve">ความหนาแผ่นเวียร์ SS304</t>
  </si>
  <si>
    <t xml:space="preserve">BOD probe: ระยะจากต้นช่วงตรง</t>
  </si>
  <si>
    <t xml:space="preserve">ช่วงต้นของช่วงตรง พ้นโซนฟอง</t>
  </si>
  <si>
    <t xml:space="preserve">BOD probe: ระยะจากผนังข้าง</t>
  </si>
  <si>
    <t xml:space="preserve">ชิดผนัง ไม่ขวางกลางร่องน้ำ</t>
  </si>
  <si>
    <t xml:space="preserve">BOD probe: จมน้ำขั้นต่ำ</t>
  </si>
  <si>
    <t xml:space="preserve">ยืนยันกับผู้ขาย WTW</t>
  </si>
  <si>
    <t xml:space="preserve">BOD probe: สูงจากพื้นขั้นต่ำ</t>
  </si>
  <si>
    <t xml:space="preserve">พ้นตะกอนที่พื้น</t>
  </si>
  <si>
    <t xml:space="preserve">Flow meter (DL10): ระดับหน้าเซนเซอร์</t>
  </si>
  <si>
    <t xml:space="preserve">ติดคานพาดขวางเหนือจุดวัด H</t>
  </si>
  <si>
    <t xml:space="preserve">Flow meter (DL10): ระยะวัดต่ำสุด (blanking)</t>
  </si>
  <si>
    <t xml:space="preserve">Badger DL10: 50–1,250 mm</t>
  </si>
  <si>
    <t xml:space="preserve">Flow meter (DL10): ระยะวัดสูงสุด</t>
  </si>
  <si>
    <t xml:space="preserve">ความหนาผนัง คสล.</t>
  </si>
  <si>
    <t xml:space="preserve">ขั้นต่ำที่นิยมสำหรับถังเก็บน้ำ (เหล็ก 2 ชั้น)</t>
  </si>
  <si>
    <t xml:space="preserve">ความหนาพื้น คสล.</t>
  </si>
  <si>
    <t xml:space="preserve">ระยะหุ้มคอนกรีต</t>
  </si>
  <si>
    <t xml:space="preserve">ผิวสัมผัสน้ำ</t>
  </si>
  <si>
    <t xml:space="preserve">ค. ค่าคงที่ (ไม่ต้องแก้)</t>
  </si>
  <si>
    <t xml:space="preserve">ความเร่งโน้มถ่วง (g)</t>
  </si>
  <si>
    <t xml:space="preserve">m/s²</t>
  </si>
  <si>
    <t xml:space="preserve">หน่วยน้ำหนักน้ำ</t>
  </si>
  <si>
    <t xml:space="preserve">kN/m³</t>
  </si>
  <si>
    <t xml:space="preserve">ค่าคงที่ V-notch 90° กรมควบคุมมลพิษ</t>
  </si>
  <si>
    <t xml:space="preserve">-</t>
  </si>
  <si>
    <t xml:space="preserve">สูตรหลัก: Q = 1.38 × H^2.5</t>
  </si>
  <si>
    <t xml:space="preserve">สัมประสิทธิ์ V-notch 90° (Ce)</t>
  </si>
  <si>
    <t xml:space="preserve">ใช้เทียบ: ISO 1438 / USBR</t>
  </si>
  <si>
    <t xml:space="preserve">ค่าปรับความสูงน้ำ (kh)</t>
  </si>
  <si>
    <t xml:space="preserve">สัมประสิทธิ์สันปลายตรง</t>
  </si>
  <si>
    <t xml:space="preserve">Q = 1.84 × B × H^1.5 (Francis)</t>
  </si>
  <si>
    <t xml:space="preserve">สัมประสิทธิ์ปากท่อออก (Cd)</t>
  </si>
  <si>
    <t xml:space="preserve">ปากท่อแบบขอบคม</t>
  </si>
  <si>
    <t xml:space="preserve">กำลังคราก SS304</t>
  </si>
  <si>
    <t xml:space="preserve">MPa</t>
  </si>
  <si>
    <t xml:space="preserve">กำลังครากเหล็กเสริม SD40</t>
  </si>
  <si>
    <t xml:space="preserve">ตัวคูณน้ำหนักแรงดันน้ำ</t>
  </si>
  <si>
    <t xml:space="preserve">สัญลักษณ์สี</t>
  </si>
  <si>
    <t xml:space="preserve">ช่องสีเหลือง ตัวเลขสีน้ำเงิน</t>
  </si>
  <si>
    <t xml:space="preserve">50</t>
  </si>
  <si>
    <t xml:space="preserve">ค่าที่แก้ได้</t>
  </si>
  <si>
    <t xml:space="preserve">ช่องสีเขียว ตัวหนา</t>
  </si>
  <si>
    <t xml:space="preserve">0.60</t>
  </si>
  <si>
    <t xml:space="preserve">ผลลัพธ์ / ขนาดที่ใช้</t>
  </si>
  <si>
    <t xml:space="preserve">ตัวเลขสีดำ</t>
  </si>
  <si>
    <t xml:space="preserve">0.524</t>
  </si>
  <si>
    <t xml:space="preserve">สูตรคำนวณ ห้ามพิมพ์ทับ</t>
  </si>
  <si>
    <t xml:space="preserve">2) เวียร์ V-notch 90° — หาความสูงน้ำ H จากอัตราการไหล</t>
  </si>
  <si>
    <t xml:space="preserve">สูตรหลัก (กรมควบคุมมลพิษ): Q = 1.38 × H^2.5  →  H = (Q ÷ 1.38)^0.4     |     สูตรเทียบ (ISO 1438): Q = K × (H + kh)^2.5  →  H = (Q ÷ K)^0.4 − kh</t>
  </si>
  <si>
    <t xml:space="preserve">ขั้นที่ 1  ค่าคงที่ของแต่ละสูตร</t>
  </si>
  <si>
    <t xml:space="preserve">สูตรกรมควบคุมมลพิษ</t>
  </si>
  <si>
    <t xml:space="preserve">ค่าคงที่ตายตัว</t>
  </si>
  <si>
    <t xml:space="preserve">สูตร ISO: K = Ce × (8/15) × √(2g)</t>
  </si>
  <si>
    <t xml:space="preserve">≈ 1.365 และบวก kh ที่ H</t>
  </si>
  <si>
    <t xml:space="preserve">ขั้นที่ 2  แปลงอัตราการไหล แล้วหา H ทั้ง 2 สูตร</t>
  </si>
  <si>
    <t xml:space="preserve">กรณี</t>
  </si>
  <si>
    <t xml:space="preserve">Q ผ่านเวียร์
(m³/h)</t>
  </si>
  <si>
    <t xml:space="preserve">Q
(m³/s)
= ÷3600</t>
  </si>
  <si>
    <t xml:space="preserve">H กรมฯ
(cm)
= (Q÷1.38)^0.4</t>
  </si>
  <si>
    <t xml:space="preserve">H ISO
(cm)
= (Q÷K)^0.4 − kh</t>
  </si>
  <si>
    <t xml:space="preserve">ต่างกัน
(cm)
= กรมฯ − ISO</t>
  </si>
  <si>
    <t xml:space="preserve">หมายเหตุ</t>
  </si>
  <si>
    <t xml:space="preserve">น้ำเข้าต่ำสุด ปั๊มเดิน</t>
  </si>
  <si>
    <t xml:space="preserve">น้ำเข้าเฉลี่ย ปั๊มเดิน</t>
  </si>
  <si>
    <t xml:space="preserve">ใช้งานปกติ</t>
  </si>
  <si>
    <t xml:space="preserve">น้ำเข้าสูงสุด ปั๊มเดิน</t>
  </si>
  <si>
    <t xml:space="preserve">น้ำเข้าสูงสุด ปั๊มหยุด</t>
  </si>
  <si>
    <t xml:space="preserve">← Hmax ใช้หาขนาด</t>
  </si>
  <si>
    <t xml:space="preserve">• ทั้ง 2 สูตรมาจาก Q = Cd × (8/15) × √(2g) × H^2.5 ต่างกันที่ Cd: กรมฯ 0.584 (→ 1.38) / ISO 0.578 (→ 1.365)</t>
  </si>
  <si>
    <t xml:space="preserve">• ISO บวก kh = 0.85 mm ที่ H เพื่อชดเชยแรงตึงผิวตอนน้ำตื้น จึงต่างกันมากเฉพาะ H &lt; 10 cm</t>
  </si>
  <si>
    <t xml:space="preserve">• ช่วงใช้งานบ่อนี้ต่างกันไม่ถึง 0.5% — รายงานราชการให้ใช้สูตรกรมฯ</t>
  </si>
  <si>
    <t xml:space="preserve">3) คำนวณขนาดบ่อและแผ่นเวียร์ — ทุกขนาดมาจากสูตร</t>
  </si>
  <si>
    <t xml:space="preserve">คอลัมน์ 'ค่าขั้นต่ำ' = ผลจากเกณฑ์   |   คอลัมน์ 'ใช้' = ปัดขึ้นทีละ 0.05 m (หรือค่าที่กำหนด)   |   ตรวจ ✔/✘ ท้ายแต่ละหมวด</t>
  </si>
  <si>
    <t xml:space="preserve">วิธีคิด</t>
  </si>
  <si>
    <t xml:space="preserve">ค่าขั้นต่ำ</t>
  </si>
  <si>
    <t xml:space="preserve">ใช้</t>
  </si>
  <si>
    <t xml:space="preserve">เหตุผล / เกณฑ์</t>
  </si>
  <si>
    <t xml:space="preserve">ก. ขนาดเวียร์ (จาก Hmax)</t>
  </si>
  <si>
    <t xml:space="preserve">Hmax (ความสูงน้ำเหนือยอด V สูงสุด)</t>
  </si>
  <si>
    <t xml:space="preserve">จากชีต 2 กรณีปั๊มหยุด</t>
  </si>
  <si>
    <t xml:space="preserve">Q = 100 m³/h</t>
  </si>
  <si>
    <t xml:space="preserve">P ความสูงยอด V จากพื้นบ่อ</t>
  </si>
  <si>
    <t xml:space="preserve">MAX(0.45, H ÷ 0.4) + เผื่อตะกอน</t>
  </si>
  <si>
    <t xml:space="preserve">เกณฑ์ ISO: P ≥ 0.45 m และ H/P ≤ 0.4</t>
  </si>
  <si>
    <t xml:space="preserve">ความลึกร่อง V</t>
  </si>
  <si>
    <t xml:space="preserve">H + 0.08</t>
  </si>
  <si>
    <t xml:space="preserve">น้ำไม่ล้นขอบร่อง</t>
  </si>
  <si>
    <t xml:space="preserve">ความกว้างปากร่อง V</t>
  </si>
  <si>
    <t xml:space="preserve">2 × ความลึก × tan45°</t>
  </si>
  <si>
    <t xml:space="preserve">ร่อง 90° กว้าง = 2 เท่าของลึก</t>
  </si>
  <si>
    <t xml:space="preserve">b ระยะขอบร่อง V ถึงผนัง (ข้างละ)</t>
  </si>
  <si>
    <t xml:space="preserve">≥ 2 × H (เกณฑ์ USBR / เอกสาร มข.)</t>
  </si>
  <si>
    <t xml:space="preserve">น้ำเข้าร่องไม่ถูกผนังข้างบีบ</t>
  </si>
  <si>
    <t xml:space="preserve">B ตามเกณฑ์</t>
  </si>
  <si>
    <t xml:space="preserve">MAX(0.90, H ÷ 0.2, ปากร่อง + 2b)</t>
  </si>
  <si>
    <t xml:space="preserve">ISO: B ≥ 0.90 และ H/B ≤ 0.2 / USBR–มข.: b ≥ 2H ข้างละ</t>
  </si>
  <si>
    <t xml:space="preserve">B ความกว้างภายในบ่อ (ใช้)</t>
  </si>
  <si>
    <t xml:space="preserve">MAX(ตามเกณฑ์, ค่าที่เลือก)</t>
  </si>
  <si>
    <t xml:space="preserve">เลือก 1.50 เพื่อมีระยะเผื่อ</t>
  </si>
  <si>
    <t xml:space="preserve">ช่วงตรงหน้าเวียร์</t>
  </si>
  <si>
    <t xml:space="preserve">10 × H</t>
  </si>
  <si>
    <t xml:space="preserve">ให้ความเร็วเท่ากันทั้งหน้าตัดก่อนถึงเวียร์</t>
  </si>
  <si>
    <t xml:space="preserve">จุดวัด H ห่างแผ่นเวียร์</t>
  </si>
  <si>
    <t xml:space="preserve">4.5 × H (กลางช่วง 4–5 H)</t>
  </si>
  <si>
    <t xml:space="preserve">นอกเขตที่ผิวน้ำลดระดับเข้าหาร่อง</t>
  </si>
  <si>
    <t xml:space="preserve">ตรวจ: H/P</t>
  </si>
  <si>
    <t xml:space="preserve">≤ 0.4</t>
  </si>
  <si>
    <t xml:space="preserve">ตรวจ: H/B</t>
  </si>
  <si>
    <t xml:space="preserve">≤ 0.2</t>
  </si>
  <si>
    <t xml:space="preserve">ตรวจ: b จริง = (B − ปากร่อง) ÷ 2</t>
  </si>
  <si>
    <t xml:space="preserve">≥ 2H</t>
  </si>
  <si>
    <t xml:space="preserve">เกณฑ์ USBR / เอกสาร มข.</t>
  </si>
  <si>
    <t xml:space="preserve">น้ำเข้าสูงสุดที่ b ยังผ่าน</t>
  </si>
  <si>
    <t xml:space="preserve">1.38 × (b ÷ 2)^2.5 × 3600</t>
  </si>
  <si>
    <t xml:space="preserve">ระยะเผื่อเทียบกับ 100 m³/h</t>
  </si>
  <si>
    <t xml:space="preserve">ตรวจ: จุดวัด ÷ H</t>
  </si>
  <si>
    <t xml:space="preserve">4–5 เท่า</t>
  </si>
  <si>
    <t xml:space="preserve">ตรวจ: H ต่ำสุด (น้ำเข้า 50 m³/h) ≥ 0.05 m</t>
  </si>
  <si>
    <t xml:space="preserve">≥ 0.05</t>
  </si>
  <si>
    <t xml:space="preserve">ต่ำกว่านี้วัดไม่แม่น</t>
  </si>
  <si>
    <t xml:space="preserve">ข. ช่องท้ายเวียร์ (ม่านน้ำ V-notch ต้องไม่ชนผนัง และน้ำท้ายต้องต่ำ)</t>
  </si>
  <si>
    <t xml:space="preserve">ระดับน้ำท้ายเวียร์ (จากพื้น)</t>
  </si>
  <si>
    <t xml:space="preserve">ท่อ 8" ที่พื้น: D/2 + (Q ÷ (Cd·A))² ÷ 2g</t>
  </si>
  <si>
    <t xml:space="preserve">ตรวจ: น้ำท้ายต่ำกว่ายอด V ≥ 0.06 m</t>
  </si>
  <si>
    <t xml:space="preserve">P − น้ำท้าย</t>
  </si>
  <si>
    <t xml:space="preserve">ถ้าน้ำท้ายสูงกว่านี้ ค่าที่วัดผิด</t>
  </si>
  <si>
    <t xml:space="preserve">ความเร็วผิวบนม่านน้ำ</t>
  </si>
  <si>
    <t xml:space="preserve">√(2 g H)</t>
  </si>
  <si>
    <t xml:space="preserve">ค่าสูงสุด (เผื่อไว้)</t>
  </si>
  <si>
    <t xml:space="preserve">ระยะตกของม่านน้ำ</t>
  </si>
  <si>
    <t xml:space="preserve">P + H − น้ำท้าย</t>
  </si>
  <si>
    <t xml:space="preserve">ม่านน้ำพุ่งไกล</t>
  </si>
  <si>
    <t xml:space="preserve">v × √(2y ÷ g)</t>
  </si>
  <si>
    <t xml:space="preserve">วิถีโปรเจกไทล์</t>
  </si>
  <si>
    <t xml:space="preserve">ความยาวช่องท้ายเวียร์</t>
  </si>
  <si>
    <t xml:space="preserve">ม่านน้ำพุ่งไกล + เผื่อ 0.20</t>
  </si>
  <si>
    <t xml:space="preserve">ค. โซนรับน้ำตก + ผนังลอดใต้ + สันล้น ช่อง 3 (คสล. หนา 0.10)</t>
  </si>
  <si>
    <t xml:space="preserve">ความลึกน้ำช่อง 3 สูงสุด</t>
  </si>
  <si>
    <t xml:space="preserve">P + H</t>
  </si>
  <si>
    <t xml:space="preserve">ความเร็วน้ำแนวราบ ช่อง 3</t>
  </si>
  <si>
    <t xml:space="preserve">Q ÷ (B × ลึก)</t>
  </si>
  <si>
    <t xml:space="preserve">ระยะที่ฟองไหลไปก่อนลอยถึงผิว</t>
  </si>
  <si>
    <t xml:space="preserve">(ลึก ÷ v ฟองลอย) × v แนวราบ</t>
  </si>
  <si>
    <t xml:space="preserve">ความยาวโซนรับน้ำตก</t>
  </si>
  <si>
    <t xml:space="preserve">MAX(ระยะทำงาน 0.50, ระยะฟอง)</t>
  </si>
  <si>
    <t xml:space="preserve">ฟองลอยขึ้นผิวน้ำก่อนเข้าช่วงตรง</t>
  </si>
  <si>
    <t xml:space="preserve">① ช่องลอดใต้ผนัง</t>
  </si>
  <si>
    <t xml:space="preserve">Q ÷ (B × v ไม่เกิน 0.10)</t>
  </si>
  <si>
    <t xml:space="preserve">ขอบล่างผนังลอดใต้ / ขอบบนเสมอสันกำแพง</t>
  </si>
  <si>
    <t xml:space="preserve">ระยะ ① ถึง ② (สันล้น)</t>
  </si>
  <si>
    <t xml:space="preserve">เท่าช่องลอด</t>
  </si>
  <si>
    <t xml:space="preserve">② ความสูงสันล้น</t>
  </si>
  <si>
    <t xml:space="preserve">ช่องลอด + 0.10</t>
  </si>
  <si>
    <t xml:space="preserve">สันล้น = ต้นช่วงตรง</t>
  </si>
  <si>
    <t xml:space="preserve">ระยะรับน้ำตก ก่อนถึง ①</t>
  </si>
  <si>
    <t xml:space="preserve">โซนรับน้ำตก − ระยะ ①–②</t>
  </si>
  <si>
    <t xml:space="preserve">ตำแหน่ง ① วัดจากสันปลายช่อง 2</t>
  </si>
  <si>
    <t xml:space="preserve">ตรวจ: ระยะรับน้ำตก ≥ ระยะฟองลอย</t>
  </si>
  <si>
    <t xml:space="preserve">ฟองลอยขึ้นก่อนถึงผนังลอดใต้</t>
  </si>
  <si>
    <t xml:space="preserve">ความเร็วข้ามสันล้น (สูงสุด)</t>
  </si>
  <si>
    <t xml:space="preserve">Q ÷ (B × (น้ำช่อง 3 − สันล้น))</t>
  </si>
  <si>
    <t xml:space="preserve">ตรวจ: ความเร็วข้ามสันล้น ≤ 0.10</t>
  </si>
  <si>
    <t xml:space="preserve">ตรวจ: น้ำเหนือสันล้น ที่น้ำเข้าต่ำสุด</t>
  </si>
  <si>
    <t xml:space="preserve">≥ 0.10 m</t>
  </si>
  <si>
    <t xml:space="preserve">ง. ช่อง 2 โชว์น้ำใส</t>
  </si>
  <si>
    <t xml:space="preserve">ชั้นน้ำบนพื้นยก (สูงสุด)</t>
  </si>
  <si>
    <t xml:space="preserve">สันปลาย + (Q ÷ (1.84 B))^(2/3)</t>
  </si>
  <si>
    <t xml:space="preserve">รายละเอียดทุกกรณีในชีต 4</t>
  </si>
  <si>
    <t xml:space="preserve">ระดับผิวพื้นยก</t>
  </si>
  <si>
    <t xml:space="preserve">น้ำช่อง 3 + 0.10 − สันปลาย</t>
  </si>
  <si>
    <t xml:space="preserve">ความยาวช่อง 2 ขั้นต่ำ</t>
  </si>
  <si>
    <t xml:space="preserve">10 × ชั้นน้ำ</t>
  </si>
  <si>
    <t xml:space="preserve">ให้ผิวน้ำเรียบหลังขึ้นขั้น</t>
  </si>
  <si>
    <t xml:space="preserve">ความยาวช่อง 2 ที่ใช้</t>
  </si>
  <si>
    <t xml:space="preserve">ค่าที่เลือก (ชีต 1)</t>
  </si>
  <si>
    <t xml:space="preserve">ตรวจ: ความยาวช่อง 2 ≥ ขั้นต่ำ</t>
  </si>
  <si>
    <t xml:space="preserve">จ. ช่อง 1 รับน้ำ + ปั๊มจุ่ม</t>
  </si>
  <si>
    <t xml:space="preserve">ช่องลอดใต้ผนังกั้น ช่อง 1</t>
  </si>
  <si>
    <t xml:space="preserve">MAX(0.30, Q ÷ (กว้างช่อง 1 × 0.10))</t>
  </si>
  <si>
    <t xml:space="preserve">ขั้นต่ำ 0.30 กันตะกอนอุด</t>
  </si>
  <si>
    <t xml:space="preserve">โซนน้ำเข้า</t>
  </si>
  <si>
    <t xml:space="preserve">ท่อจุ่ม + ระยะห่าง × 2</t>
  </si>
  <si>
    <t xml:space="preserve">ผนังกั้นลอดใต้</t>
  </si>
  <si>
    <t xml:space="preserve">ความหนา</t>
  </si>
  <si>
    <t xml:space="preserve">โซนปั๊ม</t>
  </si>
  <si>
    <t xml:space="preserve">ฐานปั๊ม + ระยะห่าง × 2</t>
  </si>
  <si>
    <t xml:space="preserve">ช่อง 1 ยาวขั้นต่ำตามปั๊ม/ท่อ</t>
  </si>
  <si>
    <t xml:space="preserve">โซนน้ำเข้า + ผนังกั้น + โซนปั๊ม</t>
  </si>
  <si>
    <t xml:space="preserve">ชั้นน้ำช่อง 2 ที่น้ำเข้าเฉลี่ย</t>
  </si>
  <si>
    <t xml:space="preserve">สันปลาย + (Q ÷ 1.84B)^(2/3)</t>
  </si>
  <si>
    <t xml:space="preserve">Q = Qavg − recycle</t>
  </si>
  <si>
    <t xml:space="preserve">ระดับน้ำช่อง 1 ที่น้ำเข้าเฉลี่ย</t>
  </si>
  <si>
    <t xml:space="preserve">พื้นยก + ชั้นน้ำ + 1.5 v² ÷ 2g</t>
  </si>
  <si>
    <t xml:space="preserve">ปริมาตรน้ำช่อง 1 ที่ต้องการ</t>
  </si>
  <si>
    <t xml:space="preserve">Qavg × HRT + ปั๊ม</t>
  </si>
  <si>
    <t xml:space="preserve">ช่อง 1 ยาวขั้นต่ำตาม HRT</t>
  </si>
  <si>
    <t xml:space="preserve">ปริมาตร ÷ (กว้าง × (น้ำ − พื้น))</t>
  </si>
  <si>
    <t xml:space="preserve">ความยาวช่อง 1 (ใช้)</t>
  </si>
  <si>
    <t xml:space="preserve">MAX(ตามปั๊ม, ตาม HRT)</t>
  </si>
  <si>
    <t xml:space="preserve">โซนปั๊มยาว = ช่อง 1 − 0.60</t>
  </si>
  <si>
    <t xml:space="preserve">HRT ช่อง 1 ที่ได้</t>
  </si>
  <si>
    <t xml:space="preserve">(ยาว × กว้าง × ลึก − ปั๊ม) ÷ Qavg</t>
  </si>
  <si>
    <t xml:space="preserve">ตรวจ: HRT ช่อง 1 ≥ ที่กำหนด</t>
  </si>
  <si>
    <t xml:space="preserve">HRT ช่อง 1 ที่น้ำเข้าสูงสุด</t>
  </si>
  <si>
    <t xml:space="preserve">ข้อมูลประกอบ</t>
  </si>
  <si>
    <t xml:space="preserve">ความเร็วน้ำบนพื้นยก (สูงสุด)</t>
  </si>
  <si>
    <t xml:space="preserve">Q ÷ (B × ชั้นน้ำ)</t>
  </si>
  <si>
    <t xml:space="preserve">ระดับน้ำช่อง 1 สูงสุด</t>
  </si>
  <si>
    <t xml:space="preserve">รวมการสูญเสียตอนน้ำขึ้นขั้น</t>
  </si>
  <si>
    <t xml:space="preserve">ฉ. ความสูงผนัง</t>
  </si>
  <si>
    <t xml:space="preserve">ระดับสันกำแพง (จากพื้นบ่อ)</t>
  </si>
  <si>
    <t xml:space="preserve">น้ำช่อง 1 + freeboard</t>
  </si>
  <si>
    <t xml:space="preserve">จุดที่น้ำสูงสุดคือช่อง 1</t>
  </si>
  <si>
    <t xml:space="preserve">ช. กำแพงเวียร์ คสล. + แผ่นเวียร์ SS304</t>
  </si>
  <si>
    <t xml:space="preserve">ระดับสันกำแพงเวียร์ คสล.</t>
  </si>
  <si>
    <t xml:space="preserve">P − 0.10</t>
  </si>
  <si>
    <t xml:space="preserve">ช่วงล่างเป็นคอนกรีต ช่วงบนเป็นแผ่น SS</t>
  </si>
  <si>
    <t xml:space="preserve">แผ่นเวียร์: กว้าง</t>
  </si>
  <si>
    <t xml:space="preserve">B + ฝังร่องผนัง × 2</t>
  </si>
  <si>
    <t xml:space="preserve">แผ่นเวียร์: ขอบล่าง</t>
  </si>
  <si>
    <t xml:space="preserve">สันกำแพงเวียร์ − ทับ 0.10</t>
  </si>
  <si>
    <t xml:space="preserve">ยึดพุก SS กับกำแพง</t>
  </si>
  <si>
    <t xml:space="preserve">แผ่นเวียร์: ขอบบน</t>
  </si>
  <si>
    <t xml:space="preserve">P + ลึกร่อง + 0.10</t>
  </si>
  <si>
    <t xml:space="preserve">แผ่นเวียร์: สูง</t>
  </si>
  <si>
    <t xml:space="preserve">ขอบบน − ขอบล่าง</t>
  </si>
  <si>
    <t xml:space="preserve">ความสูงน้ำเหนือแนวยึดแผ่น</t>
  </si>
  <si>
    <t xml:space="preserve">น้ำช่อง 3 − สันกำแพงเวียร์</t>
  </si>
  <si>
    <t xml:space="preserve">โมเมนต์ที่แนวยึด (ต่อกว้าง 1 m)</t>
  </si>
  <si>
    <t xml:space="preserve">γw × a³ ÷ 6</t>
  </si>
  <si>
    <t xml:space="preserve">kN·m/m</t>
  </si>
  <si>
    <t xml:space="preserve">คิดแบบคานยื่น (ปลอดภัยกว่าจริง)</t>
  </si>
  <si>
    <t xml:space="preserve">หน่วยแรงดัดในแผ่น</t>
  </si>
  <si>
    <t xml:space="preserve">M ÷ (t² ÷ 6)</t>
  </si>
  <si>
    <t xml:space="preserve">ตรวจ: หน่วยแรง ≤ 0.6 fy</t>
  </si>
  <si>
    <t xml:space="preserve">0.6 × 205 = 123 MPa</t>
  </si>
  <si>
    <t xml:space="preserve">แผ่นหนา 6 mm เพียงพอ</t>
  </si>
  <si>
    <t xml:space="preserve">ซ. ผนังและพื้น คสล. (ตรวจเบื้องต้น — วิศวกรโยธาต้องออกแบบรับรอง)</t>
  </si>
  <si>
    <t xml:space="preserve">โมเมนต์โคนผนัง (น้ำเต็ม ดินไม่ช่วย)</t>
  </si>
  <si>
    <t xml:space="preserve">γw × สูง³ ÷ 6</t>
  </si>
  <si>
    <t xml:space="preserve">ผนังยื่นจากพื้น</t>
  </si>
  <si>
    <t xml:space="preserve">โมเมนต์ประลัย</t>
  </si>
  <si>
    <t xml:space="preserve">× 1.7</t>
  </si>
  <si>
    <t xml:space="preserve">ความลึกประสิทธิผล d</t>
  </si>
  <si>
    <t xml:space="preserve">t − ระยะหุ้ม − 6 mm</t>
  </si>
  <si>
    <t xml:space="preserve">เหล็ก DB12</t>
  </si>
  <si>
    <t xml:space="preserve">เหล็กเสริมที่ต้องการ</t>
  </si>
  <si>
    <t xml:space="preserve">Mu ÷ (0.9 fy × 0.9 d)</t>
  </si>
  <si>
    <t xml:space="preserve">mm²/m</t>
  </si>
  <si>
    <t xml:space="preserve">เหล็กเสริมขั้นต่ำ</t>
  </si>
  <si>
    <t xml:space="preserve">0.003 × 1000 × t</t>
  </si>
  <si>
    <t xml:space="preserve">ถังเก็บน้ำ ป้องกันร้าว</t>
  </si>
  <si>
    <t xml:space="preserve">ระยะเหล็ก DB12 (113 mm²)</t>
  </si>
  <si>
    <t xml:space="preserve">113 ÷ MAX(ที่ต้องการ, ขั้นต่ำ) × 1000</t>
  </si>
  <si>
    <t xml:space="preserve">mm</t>
  </si>
  <si>
    <t xml:space="preserve">ตรวจ: ระยะเหล็ก ≥ 100 mm (เทคอนกรีตได้)</t>
  </si>
  <si>
    <t xml:space="preserve">ผนัง 0.20 m เพียงพอ — ควบคุมด้วยเหล็กขั้นต่ำ</t>
  </si>
  <si>
    <t xml:space="preserve">ผนังช่อง 1 สูง (จากพื้นช่อง 1)</t>
  </si>
  <si>
    <t xml:space="preserve">สันกำแพง − พื้นช่อง 1</t>
  </si>
  <si>
    <t xml:space="preserve">โมเมนต์ประลัยโคนผนังช่อง 1</t>
  </si>
  <si>
    <t xml:space="preserve">1.7 × γw × สูง³ ÷ 6</t>
  </si>
  <si>
    <t xml:space="preserve">เหล็กเสริมที่ต้องการ ผนังช่อง 1</t>
  </si>
  <si>
    <t xml:space="preserve">ระยะเหล็ก DB12 ผนังช่อง 1</t>
  </si>
  <si>
    <t xml:space="preserve">ยังไม่รวมแรงดันดินด้านนอก</t>
  </si>
  <si>
    <t xml:space="preserve">ตรวจ: ระยะเหล็กผนังช่อง 1 ≥ 100 mm</t>
  </si>
  <si>
    <t xml:space="preserve">วิศวกรโยธาต้องตรวจรวมแรงดันดิน</t>
  </si>
  <si>
    <t xml:space="preserve">ฌ. ตำแหน่งเซนเซอร์ (ช่อง 3)</t>
  </si>
  <si>
    <t xml:space="preserve">BOD probe: ระดับปลาย probe</t>
  </si>
  <si>
    <t xml:space="preserve">กลางระหว่าง (พื้น + 0.20) กับ (ยอด V − จมขั้นต่ำ)</t>
  </si>
  <si>
    <t xml:space="preserve">ปัดเป็นทวีคูณ 0.05</t>
  </si>
  <si>
    <t xml:space="preserve">ตรวจ: probe จมน้ำเมื่อน้ำหยุดไหล (ยอด V − ปลาย)</t>
  </si>
  <si>
    <t xml:space="preserve">≥ จมขั้นต่ำ</t>
  </si>
  <si>
    <t xml:space="preserve">น้ำในช่อง 3 ค้างที่ยอด V เสมอ</t>
  </si>
  <si>
    <t xml:space="preserve">ตรวจ: probe สูงจากพื้น</t>
  </si>
  <si>
    <t xml:space="preserve">≥ 0.20</t>
  </si>
  <si>
    <t xml:space="preserve">BOD probe: ระยะถึงแผ่นเวียร์</t>
  </si>
  <si>
    <t xml:space="preserve">ช่วงตรง − ระยะจากต้นช่วงตรง</t>
  </si>
  <si>
    <t xml:space="preserve">ตรวจ: probe อยู่เหนือน้ำของจุดวัด H</t>
  </si>
  <si>
    <t xml:space="preserve">ห่างจุดวัด ≥ 0.5 m</t>
  </si>
  <si>
    <t xml:space="preserve">ไม่รบกวนผิวน้ำที่จุดวัด</t>
  </si>
  <si>
    <t xml:space="preserve">Flow meter (DL10): ระยะถึงผิวน้ำ ตอนน้ำสูงสุด</t>
  </si>
  <si>
    <t xml:space="preserve">หน้าเซนเซอร์ − (P + Hmax)</t>
  </si>
  <si>
    <t xml:space="preserve">Flow meter (DL10): ระยะถึงผิวน้ำ ตอนน้ำหยุดไหล</t>
  </si>
  <si>
    <t xml:space="preserve">หน้าเซนเซอร์ − P</t>
  </si>
  <si>
    <t xml:space="preserve">ตรวจ: Flow meter อยู่ในช่วงวัด</t>
  </si>
  <si>
    <t xml:space="preserve">0.05–1.25 m</t>
  </si>
  <si>
    <t xml:space="preserve">ตรวจ: หน้าเซนเซอร์ต่ำกว่าสันกำแพง</t>
  </si>
  <si>
    <t xml:space="preserve">ติดคานบนสันกำแพงได้</t>
  </si>
  <si>
    <t xml:space="preserve">ญ. สรุปขนาดบ่อ</t>
  </si>
  <si>
    <t xml:space="preserve">ความยาวช่อง 3</t>
  </si>
  <si>
    <t xml:space="preserve">รับน้ำตก 0.30 + ① 0.10 + ห่าง 0.20 + ② 0.10 + ช่วงตรง + กำแพงเวียร์ + ท้ายเวียร์</t>
  </si>
  <si>
    <t xml:space="preserve">ความยาวภายใน</t>
  </si>
  <si>
    <t xml:space="preserve">ช่อง 1 + ช่อง 2 + ช่อง 3</t>
  </si>
  <si>
    <t xml:space="preserve">ความกว้างภายใน ช่อง 2–3</t>
  </si>
  <si>
    <t xml:space="preserve">B</t>
  </si>
  <si>
    <t xml:space="preserve">ความกว้างภายใน ช่อง 1</t>
  </si>
  <si>
    <t xml:space="preserve">ความสูงภายใน</t>
  </si>
  <si>
    <t xml:space="preserve">สันกำแพง</t>
  </si>
  <si>
    <t xml:space="preserve">ความยาวภายนอก</t>
  </si>
  <si>
    <t xml:space="preserve">ภายใน + ผนัง × 2</t>
  </si>
  <si>
    <t xml:space="preserve">ความกว้างภายนอก ช่อง 2–3</t>
  </si>
  <si>
    <t xml:space="preserve">ความกว้างภายนอก ช่อง 1</t>
  </si>
  <si>
    <t xml:space="preserve">ความสูงภายนอก ช่อง 1</t>
  </si>
  <si>
    <t xml:space="preserve">สันกำแพง − พื้นช่อง 1 + พื้น</t>
  </si>
  <si>
    <t xml:space="preserve">ความสูงภายนอก</t>
  </si>
  <si>
    <t xml:space="preserve">ภายใน + พื้น</t>
  </si>
  <si>
    <t xml:space="preserve">4) ช่อง 2 โชว์น้ำใส — ชั้นน้ำบนพื้นยกหนาเท่าไร</t>
  </si>
  <si>
    <t xml:space="preserve">สันปลาย: Q = 1.84 × B × H^1.5 → H = (Q ÷ (1.84 × B))^(2/3)  |  ความลึก = สันปลาย + H  |  Froude = v ÷ √(g × ลึก) (&lt; 0.5 = ผิวน้ำเรียบ)</t>
  </si>
  <si>
    <t xml:space="preserve">Q ผ่านช่อง 2
(m³/h)</t>
  </si>
  <si>
    <t xml:space="preserve">Q
(m³/s)</t>
  </si>
  <si>
    <t xml:space="preserve">ม่านน้ำบนสัน H
(cm)</t>
  </si>
  <si>
    <t xml:space="preserve">ชั้นน้ำบนพื้นยก
(cm)
= สัน + H</t>
  </si>
  <si>
    <t xml:space="preserve">ความเร็ว v
(m/s)
= Q ÷ (B × ลึก)</t>
  </si>
  <si>
    <t xml:space="preserve">Froude</t>
  </si>
  <si>
    <t xml:space="preserve">ผิวน้ำ</t>
  </si>
  <si>
    <t xml:space="preserve">• ชั้นน้ำบนพื้นยก = ความหนาน้ำที่คนจะมองเห็น (ช่องสีเขียว)</t>
  </si>
  <si>
    <t xml:space="preserve">• Froude &lt; 0.5 ผิวน้ำเรียบเหมือนกระจก เห็นพื้นชัด / 0.7–1.3 ผิวน้ำเป็นระลอก ดูไม่ใส</t>
  </si>
  <si>
    <t xml:space="preserve">• อยากให้น้ำบางลง: ลดสันปลาย (ชีต 1) — แต่ Froude จะสูงขึ้น ให้ดูคอลัมน์ 'ผิวน้ำ' ประกอบ</t>
  </si>
  <si>
    <t xml:space="preserve">5) ระดับต่าง ๆ ของบ่อ (พื้นบ่อ = ±0.000 m)</t>
  </si>
  <si>
    <t xml:space="preserve">ที่น้ำเข้าสูงสุด ปั๊มหยุด (น้ำสูงที่สุด) — ทุกค่าดึงจากชีต 3</t>
  </si>
  <si>
    <t xml:space="preserve">ระดับ</t>
  </si>
  <si>
    <t xml:space="preserve">คิดจาก</t>
  </si>
  <si>
    <t xml:space="preserve">น้ำ ช่อง 1</t>
  </si>
  <si>
    <t xml:space="preserve">พื้นยก + ชั้นน้ำ + การสูญเสีย</t>
  </si>
  <si>
    <t xml:space="preserve">สันปลาย ช่อง 2</t>
  </si>
  <si>
    <t xml:space="preserve">พื้นยก + สันปลาย</t>
  </si>
  <si>
    <t xml:space="preserve">ผิวพื้นยก ช่อง 2</t>
  </si>
  <si>
    <t xml:space="preserve">ขอบบนแผ่นเวียร์</t>
  </si>
  <si>
    <t xml:space="preserve">ขอบบนร่อง V</t>
  </si>
  <si>
    <t xml:space="preserve">P + ลึกร่อง</t>
  </si>
  <si>
    <t xml:space="preserve">น้ำ ช่อง 3 สูงสุด</t>
  </si>
  <si>
    <t xml:space="preserve">P + Hmax</t>
  </si>
  <si>
    <t xml:space="preserve">ยอด V (H = 0)</t>
  </si>
  <si>
    <t xml:space="preserve">P</t>
  </si>
  <si>
    <t xml:space="preserve">สันกำแพงเวียร์ คสล.</t>
  </si>
  <si>
    <t xml:space="preserve">ขอบล่างแผ่นเวียร์</t>
  </si>
  <si>
    <t xml:space="preserve">สันกำแพงเวียร์ − 0.10</t>
  </si>
  <si>
    <t xml:space="preserve">ขอบล่างผนังกั้น ช่อง 1</t>
  </si>
  <si>
    <t xml:space="preserve">พื้นช่อง 1 + ช่องลอด</t>
  </si>
  <si>
    <t xml:space="preserve">น้ำท้ายเวียร์</t>
  </si>
  <si>
    <t xml:space="preserve">ท่อออก 8"</t>
  </si>
  <si>
    <t xml:space="preserve">ปั๊ม STOP ช่อง 1</t>
  </si>
  <si>
    <t xml:space="preserve">พื้นช่อง 1 + 0.60</t>
  </si>
  <si>
    <t xml:space="preserve">ปลายท่อจุ่ม</t>
  </si>
  <si>
    <t xml:space="preserve">พื้นช่อง 1 + 0.50</t>
  </si>
  <si>
    <t xml:space="preserve">พื้นบ่อ ช่อง 2–3</t>
  </si>
  <si>
    <t xml:space="preserve">พื้นช่อง 1</t>
  </si>
  <si>
    <t xml:space="preserve">ทางเลือก A</t>
  </si>
  <si>
    <t xml:space="preserve">6) ตาราง H → Q สำหรับอ่านค่าหน้างาน</t>
  </si>
  <si>
    <t xml:space="preserve">วัด H จากยอด V (cm) แล้วอ่าน Q   |   กรมฯ: Q = 1.38 × H^2.5   |   ISO: Q = K × (H + kh)^2.5</t>
  </si>
  <si>
    <t xml:space="preserve">H (cm)</t>
  </si>
  <si>
    <t xml:space="preserve">Q กรมฯ
(m³/h)</t>
  </si>
  <si>
    <t xml:space="preserve">Q ISO
(m³/h)</t>
  </si>
  <si>
    <t xml:space="preserve">ต่างกัน
(%)</t>
  </si>
  <si>
    <t xml:space="preserve">Q กรมฯ
(L/s)</t>
  </si>
  <si>
    <t xml:space="preserve">Q กรมฯ
(m³/วัน)</t>
  </si>
  <si>
    <t xml:space="preserve">7) แบบพับบ่อเป็น 2 แถว (U / L) เทียบกับแบบตรง</t>
  </si>
  <si>
    <t xml:space="preserve">แถว 1: ช่อง 1 → ช่อง 2 (พื้นยก)  |  น้ำล้นข้ามสันด้านข้างลงแถว 2  |  แถว 2: รับน้ำตก → ช่วงตรง → เวียร์ → ท่อออก (ไหลย้อนกลับ)</t>
  </si>
  <si>
    <t xml:space="preserve">ก. ความยาวแต่ละแถว (ใช้ขนาดจากชีต 3)</t>
  </si>
  <si>
    <t xml:space="preserve">แถว 1: ช่อง 1</t>
  </si>
  <si>
    <t xml:space="preserve">แถว 1: ช่อง 2 (พื้นยก)</t>
  </si>
  <si>
    <t xml:space="preserve">ความยาวช่อง 2 = ความยาวสันข้าง</t>
  </si>
  <si>
    <t xml:space="preserve">น้ำไหลขวางบ่อ แล้วล้นสันลงแถว 2</t>
  </si>
  <si>
    <t xml:space="preserve">แถว 1: รวม</t>
  </si>
  <si>
    <t xml:space="preserve">ช่อง 1 + ช่อง 2</t>
  </si>
  <si>
    <t xml:space="preserve">แถว 2: โซนรับน้ำตก</t>
  </si>
  <si>
    <t xml:space="preserve">MAX(ความยาวสัน, โซนรับน้ำตกขั้นต่ำ)</t>
  </si>
  <si>
    <t xml:space="preserve">ม่านน้ำตกตลอดความยาวสัน</t>
  </si>
  <si>
    <t xml:space="preserve">แถว 2: รวม</t>
  </si>
  <si>
    <t xml:space="preserve">รับน้ำตก + ช่วงตรง + กำแพงเวียร์ + ท้ายเวียร์</t>
  </si>
  <si>
    <t xml:space="preserve">ความยาวภายในบ่อ</t>
  </si>
  <si>
    <t xml:space="preserve">MAX(แถว 1, แถว 2)</t>
  </si>
  <si>
    <t xml:space="preserve">พื้นที่ว่างท้ายแถว 1</t>
  </si>
  <si>
    <t xml:space="preserve">ความยาวภายใน − แถว 1</t>
  </si>
  <si>
    <t xml:space="preserve">แบบ L: ตัดส่วนนี้ทิ้ง / แบบ U: ใช้เป็นที่ตั้งตู้คอนโทรล</t>
  </si>
  <si>
    <t xml:space="preserve">ความกว้างภายใน</t>
  </si>
  <si>
    <t xml:space="preserve">B + ผนังกลาง + B</t>
  </si>
  <si>
    <t xml:space="preserve">ข. เทียบ 3 แบบ (ขนาดภายนอก)</t>
  </si>
  <si>
    <t xml:space="preserve">แบบตรง (ปัจจุบัน)</t>
  </si>
  <si>
    <t xml:space="preserve">แบบ U (สี่เหลี่ยม)</t>
  </si>
  <si>
    <t xml:space="preserve">แบบ L (ตัดมุมว่าง)</t>
  </si>
  <si>
    <t xml:space="preserve">ยาว (m)</t>
  </si>
  <si>
    <t xml:space="preserve">กว้าง (m)</t>
  </si>
  <si>
    <t xml:space="preserve">พื้นที่ฐาน (m²)</t>
  </si>
  <si>
    <t xml:space="preserve">ผนังรอบนอก (m³)</t>
  </si>
  <si>
    <t xml:space="preserve">ผนังกลาง (m³)</t>
  </si>
  <si>
    <t xml:space="preserve">พื้น (m³)</t>
  </si>
  <si>
    <t xml:space="preserve">คอนกรีตรวม (m³) โดยประมาณ</t>
  </si>
  <si>
    <t xml:space="preserve">ไม่รวมพื้นยก กำแพงเวียร์ ผนังกั้น (เท่ากันทุกแบบ)</t>
  </si>
  <si>
    <t xml:space="preserve">ยาวลดลงจากแบบตรง</t>
  </si>
  <si>
    <t xml:space="preserve">ค. ได้อะไร / เสียอะไร</t>
  </si>
  <si>
    <t xml:space="preserve">✔ สั้นลง</t>
  </si>
  <si>
    <t xml:space="preserve">บ่อยาวลดลงประมาณ 30% วางในพื้นที่จำกัดได้ง่าย</t>
  </si>
  <si>
    <t xml:space="preserve">✔ ท่อเข้า–ออกอยู่ด้านเดียวกัน</t>
  </si>
  <si>
    <t xml:space="preserve">ท่อเข้า 6" (แถว 1) และท่อออก 8" (แถว 2) อยู่ฝั่งเดียวกัน เดินท่อสั้นลง</t>
  </si>
  <si>
    <t xml:space="preserve">✔ จุดโชว์รวมกัน</t>
  </si>
  <si>
    <t xml:space="preserve">ช่อง 2 (น้ำใส) อยู่ติด BOD probe และ Flow meter ยืนดูจุดเดียวเห็นครบ</t>
  </si>
  <si>
    <t xml:space="preserve">✔ คอนกรีตแบบ L ใกล้เคียงแบบตรง</t>
  </si>
  <si>
    <t xml:space="preserve">แบบ U ใช้คอนกรีตมากกว่า เพราะมีมุมว่าง</t>
  </si>
  <si>
    <t xml:space="preserve">✘ น้ำต้องเลี้ยว 2 ครั้ง</t>
  </si>
  <si>
    <t xml:space="preserve">บนพื้นยก (เลี้ยว 90°) และตอนตกลงแถว 2 (ไหลจากด้านข้างแล้วเลี้ยวไปตามแถว)</t>
  </si>
  <si>
    <t xml:space="preserve">✘ ผิวน้ำช่อง 2 อาจไม่เรียบเท่าแบบตรง</t>
  </si>
  <si>
    <t xml:space="preserve">น้ำขึ้นพื้นยกจากด้านหนึ่ง แล้วไหลออกอีกด้าน มุมพื้นยกจะมีน้ำนิ่งหรือวน</t>
  </si>
  <si>
    <t xml:space="preserve">✘ ความเสี่ยงค่า Flow แกว่ง</t>
  </si>
  <si>
    <t xml:space="preserve">น้ำเข้าแถว 2 จากด้านข้าง กระแสช่วงต้นไม่สม่ำเสมอ ช่วงตรง 2.10 m ช่วยได้ ถ้ายังแกว่งให้ใส่ผนังลอดใต้ต้นช่วงตรง</t>
  </si>
  <si>
    <t xml:space="preserve">✘ แบบหล่อซับซ้อนขึ้น</t>
  </si>
  <si>
    <t xml:space="preserve">มีผนังกลางและมุมเพิ่ม ค่าแรงไม้แบบเพิ่ม</t>
  </si>
  <si>
    <t xml:space="preserve">8) ออกแบบตามวิธีในเอกสาร มข. (EN614102 Ex 3.9) เทียบกับแบบของเรา</t>
  </si>
  <si>
    <t xml:space="preserve">สมการ USBR: Q = 1.36 H^2.48  |  เกณฑ์: P ≥ 2Hmax, b ≥ 2Hmax (b = ระยะจากขอบบนร่อง V ถึงผนัง), จุดวัด 3–5 Hmax</t>
  </si>
  <si>
    <t xml:space="preserve">No.</t>
  </si>
  <si>
    <t xml:space="preserve">Parameters</t>
  </si>
  <si>
    <t xml:space="preserve">Symbol</t>
  </si>
  <si>
    <t xml:space="preserve">Unit</t>
  </si>
  <si>
    <t xml:space="preserve">Value (วิธี มข.)</t>
  </si>
  <si>
    <t xml:space="preserve">Remark (ตามเอกสาร)</t>
  </si>
  <si>
    <t xml:space="preserve">แบบของเรา (ชีต 3)</t>
  </si>
  <si>
    <t xml:space="preserve">แบบเราผ่านเกณฑ์ มข.?</t>
  </si>
  <si>
    <t xml:space="preserve">1</t>
  </si>
  <si>
    <t xml:space="preserve">Average flow rate</t>
  </si>
  <si>
    <t xml:space="preserve">Qavg</t>
  </si>
  <si>
    <t xml:space="preserve">m³/s</t>
  </si>
  <si>
    <t xml:space="preserve">1,507 m³/วัน ÷ 24 ÷ 3600</t>
  </si>
  <si>
    <t xml:space="preserve">2</t>
  </si>
  <si>
    <t xml:space="preserve">Peak flow rate</t>
  </si>
  <si>
    <t xml:space="preserve">Qpeak</t>
  </si>
  <si>
    <t xml:space="preserve">*Calculated from 1.5 of average</t>
  </si>
  <si>
    <t xml:space="preserve">2a</t>
  </si>
  <si>
    <t xml:space="preserve">Peak flow (ใบเสนอราคา)</t>
  </si>
  <si>
    <t xml:space="preserve">Qmax</t>
  </si>
  <si>
    <t xml:space="preserve">100 m³/h ตามใบเสนอราคา</t>
  </si>
  <si>
    <t xml:space="preserve">3</t>
  </si>
  <si>
    <t xml:space="preserve">Number of Weir Channel</t>
  </si>
  <si>
    <t xml:space="preserve">n</t>
  </si>
  <si>
    <t xml:space="preserve">*Design</t>
  </si>
  <si>
    <t xml:space="preserve">4</t>
  </si>
  <si>
    <t xml:space="preserve">Flow rate at Hmax of each weir</t>
  </si>
  <si>
    <t xml:space="preserve">QHmax</t>
  </si>
  <si>
    <t xml:space="preserve">*MAX(Qpeak, ใบเสนอราคา) / n</t>
  </si>
  <si>
    <t xml:space="preserve">5</t>
  </si>
  <si>
    <t xml:space="preserve">b</t>
  </si>
  <si>
    <t xml:space="preserve">*Calculate from Hmax*2*1.1</t>
  </si>
  <si>
    <t xml:space="preserve">6</t>
  </si>
  <si>
    <t xml:space="preserve">*Calculate from Hmax*2</t>
  </si>
  <si>
    <t xml:space="preserve">7</t>
  </si>
  <si>
    <t xml:space="preserve">Hmax</t>
  </si>
  <si>
    <t xml:space="preserve">*Calculated from Q=1.36Hmax^2.48</t>
  </si>
  <si>
    <t xml:space="preserve">เราใช้สูตรกรมฯ 1.38H^2.5</t>
  </si>
  <si>
    <t xml:space="preserve">8</t>
  </si>
  <si>
    <t xml:space="preserve">P/2</t>
  </si>
  <si>
    <t xml:space="preserve">9</t>
  </si>
  <si>
    <t xml:space="preserve">b/2</t>
  </si>
  <si>
    <t xml:space="preserve">10</t>
  </si>
  <si>
    <t xml:space="preserve">Point of measurement H</t>
  </si>
  <si>
    <t xml:space="preserve">*Calculate from Hmax*3 (เอกสารยอมให้ 3–5 Hmax)</t>
  </si>
  <si>
    <t xml:space="preserve">11</t>
  </si>
  <si>
    <t xml:space="preserve">H of V-Notch</t>
  </si>
  <si>
    <t xml:space="preserve">*Calculate from Hmax*1.2</t>
  </si>
  <si>
    <t xml:space="preserve">12</t>
  </si>
  <si>
    <t xml:space="preserve">*Calculate from b*2+[2*H of V Notch]/tan45</t>
  </si>
  <si>
    <t xml:space="preserve">• สไลด์ตัวอย่าง (Q = 0.75 m³/s) ได้ B = 4.63 เพราะ Excel ใช้ TAN(45) ซึ่งตีความ 45 เป็นเรเดียน (tan = 1.62) — ค่าที่ถูกคือ TAN(RADIANS(45)) = 1 → B = 5.34</t>
  </si>
  <si>
    <t xml:space="preserve">• b ในเอกสาร = ระยะจากขอบบนร่อง V ถึงผนังข้างละด้าน (เกณฑ์ USBR: ≥ 2Hmax) — แบบของเราใช้เกณฑ์ ISO 1438 (B ≥ 5Hmax) จึงแคบกว่า</t>
  </si>
  <si>
    <t xml:space="preserve">• สูตร USBR 1.36H^2.48 ให้ Q สูงกว่าสูตรกรมฯ 1.38H^2.5 ประมาณ 2% ในช่วง H 0.15–0.21 m</t>
  </si>
  <si>
    <t xml:space="preserve">9) ระยะเวลากักน้ำ (HRT) ช่อง 1 — เป้าหมาย 15 นาที</t>
  </si>
  <si>
    <t xml:space="preserve">HRT = ปริมาตรน้ำช่อง 1 ÷ น้ำเข้า  |  ระดับน้ำช่อง 1 ถูกพื้นยกช่อง 2 กำหนด จึงเพิ่มปริมาตรด้วยการลดพื้นช่อง 1 และขยายขนาด</t>
  </si>
  <si>
    <t xml:space="preserve">ข้อมูล</t>
  </si>
  <si>
    <t xml:space="preserve">HRT ที่ต้องการ</t>
  </si>
  <si>
    <t xml:space="preserve">จากชีต 1</t>
  </si>
  <si>
    <t xml:space="preserve">น้ำเข้าที่ใช้คิด HRT</t>
  </si>
  <si>
    <t xml:space="preserve">ค่าเฉลี่ย (แก้เป็น 100 ได้ถ้าคิดที่ค่าสูงสุด)</t>
  </si>
  <si>
    <t xml:space="preserve">ปริมาตรปั๊มจุ่ม + ท่อจุ่ม (หัก)</t>
  </si>
  <si>
    <t xml:space="preserve">ระดับน้ำช่อง 1 (ที่ Q นี้)</t>
  </si>
  <si>
    <t xml:space="preserve">พื้นยก + ชั้นน้ำ + การสูญเสีย (ที่ Qavg)</t>
  </si>
  <si>
    <t xml:space="preserve">ปริมาตรน้ำที่ต้องการ</t>
  </si>
  <si>
    <t xml:space="preserve">Q × HRT + ส่วนที่ปั๊มกินที่</t>
  </si>
  <si>
    <t xml:space="preserve">HRT แบบเดิม (ช่อง 1 ยาว 1.60 พื้น ±0)</t>
  </si>
  <si>
    <t xml:space="preserve">ก่อนแก้</t>
  </si>
  <si>
    <t xml:space="preserve">ทางเลือก</t>
  </si>
  <si>
    <t xml:space="preserve">ทางเลือก A (ใช้)</t>
  </si>
  <si>
    <t xml:space="preserve">ทางเลือก B</t>
  </si>
  <si>
    <t xml:space="preserve">A = ค่าที่ใช้ (ชีต 1) / B = เทียบ</t>
  </si>
  <si>
    <t xml:space="preserve">ความกว้างช่อง 1</t>
  </si>
  <si>
    <t xml:space="preserve">A = ค่าที่ใช้ (ชีต 1) / B = กว้างเท่าบ่อ</t>
  </si>
  <si>
    <t xml:space="preserve">น้ำลึก</t>
  </si>
  <si>
    <t xml:space="preserve">ระดับน้ำ − พื้น</t>
  </si>
  <si>
    <t xml:space="preserve">ความยาวช่อง 1 ขั้นต่ำ</t>
  </si>
  <si>
    <t xml:space="preserve">ปริมาตร ÷ (กว้าง × ลึก)</t>
  </si>
  <si>
    <t xml:space="preserve">ความยาวช่อง 1 ที่ใช้</t>
  </si>
  <si>
    <t xml:space="preserve">ปัดขึ้นทีละ 0.05</t>
  </si>
  <si>
    <t xml:space="preserve">ปริมาตรน้ำจริง</t>
  </si>
  <si>
    <t xml:space="preserve">HRT ที่ได้</t>
  </si>
  <si>
    <t xml:space="preserve">ตรวจ HRT</t>
  </si>
  <si>
    <t xml:space="preserve">HRT ที่น้ำเข้าสูงสุด</t>
  </si>
  <si>
    <t xml:space="preserve">ปั๊ม recycle เดินต่อได้เมื่อน้ำเข้าหยุด</t>
  </si>
  <si>
    <t xml:space="preserve">จากระดับน้ำลงถึง STOP (พื้น + 0.60)</t>
  </si>
  <si>
    <t xml:space="preserve">ความสูงผนังช่อง 1 (จากพื้นช่อง 1)</t>
  </si>
  <si>
    <t xml:space="preserve">สันกำแพง − พื้น</t>
  </si>
  <si>
    <t xml:space="preserve">บ่อยาวภายนอก</t>
  </si>
  <si>
    <t xml:space="preserve">ช่อง 1 + ช่อง 2 + ช่อง 3 + ผนัง</t>
  </si>
  <si>
    <t xml:space="preserve">กว้างภายนอก (ช่อง 1 / ช่อง 2–3)</t>
  </si>
  <si>
    <t xml:space="preserve">ตารางเลือกขนาด: ความยาวช่อง 1 ที่ต้องใช้ (m)</t>
  </si>
  <si>
    <t xml:space="preserve">พื้นช่อง 1  \  กว้าง (m)</t>
  </si>
  <si>
    <t xml:space="preserve">น้ำลึก (m)</t>
  </si>
  <si>
    <t xml:space="preserve">• ระดับน้ำช่อง 1 ถูกพื้นยกช่อง 2 กำหนดไว้ (~+0.95) จึงเพิ่มปริมาตรได้ทางเดียวคือขุดพื้นช่อง 1 ให้ลึกขึ้นหรือขยายขนาด</t>
  </si>
  <si>
    <t xml:space="preserve">• HRT นานขึ้น ตะกอนจะตกที่พื้นช่อง 1 มากขึ้น — ทำพื้นลาดเข้าหาปั๊ม 1:10 และเตรียมทางดูดตะกอน</t>
  </si>
  <si>
    <t xml:space="preserve">• ผนังช่อง 1 ที่ลึกขึ้นรับแรงดันดิน/น้ำมากขึ้น — ให้วิศวกรโยธาตรวจความหนาและเหล็กเสริม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</si>
</sst>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"/>
    <numFmt numFmtId="167" formatCode="0.0"/>
    <numFmt numFmtId="168" formatCode="0.00"/>
    <numFmt numFmtId="169" formatCode="0.000"/>
    <numFmt numFmtId="170" formatCode="\+0.00;\-0.00"/>
    <numFmt numFmtId="171" formatCode="0.00000"/>
    <numFmt numFmtId="172" formatCode="0.0000"/>
    <numFmt numFmtId="173" formatCode="\+0.00;\-0.00;0.00"/>
    <numFmt numFmtId="174" formatCode="\+0.000;\-0.000;\±0.000"/>
    <numFmt numFmtId="175" formatCode="\+0.0%;\-0.0%;0.0%"/>
    <numFmt numFmtId="176" formatCode="0%"/>
    <numFmt numFmtId="177" formatCode="\+0.000"/>
    <numFmt numFmtId="178" formatCode="\+0.00;\-0.00;\±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F8F4E"/>
      <name val="Arial"/>
      <family val="0"/>
      <charset val="1"/>
    </font>
    <font>
      <b val="true"/>
      <sz val="11"/>
      <color rgb="FFC2410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2F8F4E"/>
      <rgbColor rgb="FF003300"/>
      <rgbColor rgb="FF333300"/>
      <rgbColor rgb="FFC2410C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2"/>
  </cols>
  <sheetData>
    <row r="1" customFormat="false" ht="18.6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B5" s="4" t="s">
        <v>6</v>
      </c>
      <c r="C5" s="5"/>
      <c r="D5" s="5"/>
      <c r="E5" s="5"/>
    </row>
    <row r="6" customFormat="false" ht="15" hidden="false" customHeight="false" outlineLevel="0" collapsed="false">
      <c r="B6" s="6" t="s">
        <v>7</v>
      </c>
      <c r="C6" s="7" t="n">
        <v>1507</v>
      </c>
      <c r="D6" s="6" t="s">
        <v>8</v>
      </c>
      <c r="E6" s="6" t="s">
        <v>9</v>
      </c>
    </row>
    <row r="7" customFormat="false" ht="15" hidden="false" customHeight="false" outlineLevel="0" collapsed="false">
      <c r="B7" s="6" t="s">
        <v>10</v>
      </c>
      <c r="C7" s="8" t="n">
        <v>50</v>
      </c>
      <c r="D7" s="6" t="s">
        <v>11</v>
      </c>
      <c r="E7" s="6" t="s">
        <v>12</v>
      </c>
    </row>
    <row r="8" customFormat="false" ht="15" hidden="false" customHeight="false" outlineLevel="0" collapsed="false">
      <c r="B8" s="6" t="s">
        <v>13</v>
      </c>
      <c r="C8" s="8" t="n">
        <v>100</v>
      </c>
      <c r="D8" s="6" t="s">
        <v>11</v>
      </c>
      <c r="E8" s="6" t="s">
        <v>12</v>
      </c>
    </row>
    <row r="9" customFormat="false" ht="15" hidden="false" customHeight="false" outlineLevel="0" collapsed="false">
      <c r="B9" s="6" t="s">
        <v>14</v>
      </c>
      <c r="C9" s="8" t="n">
        <v>10</v>
      </c>
      <c r="D9" s="6" t="s">
        <v>11</v>
      </c>
      <c r="E9" s="6" t="s">
        <v>9</v>
      </c>
    </row>
    <row r="10" customFormat="false" ht="15" hidden="false" customHeight="false" outlineLevel="0" collapsed="false">
      <c r="B10" s="6" t="s">
        <v>15</v>
      </c>
      <c r="C10" s="9" t="n">
        <f aca="false">'1 ข้อมูล'!$C$6/24</f>
        <v>62.7916666666667</v>
      </c>
      <c r="D10" s="6" t="s">
        <v>11</v>
      </c>
      <c r="E10" s="6" t="s">
        <v>16</v>
      </c>
    </row>
    <row r="12" customFormat="false" ht="15" hidden="false" customHeight="false" outlineLevel="0" collapsed="false">
      <c r="B12" s="4" t="s">
        <v>17</v>
      </c>
      <c r="C12" s="5"/>
      <c r="D12" s="5"/>
      <c r="E12" s="5"/>
    </row>
    <row r="13" customFormat="false" ht="15" hidden="false" customHeight="false" outlineLevel="0" collapsed="false">
      <c r="B13" s="6" t="s">
        <v>18</v>
      </c>
      <c r="C13" s="10" t="n">
        <v>0.05</v>
      </c>
      <c r="D13" s="6" t="s">
        <v>19</v>
      </c>
      <c r="E13" s="6" t="s">
        <v>20</v>
      </c>
    </row>
    <row r="14" customFormat="false" ht="15" hidden="false" customHeight="false" outlineLevel="0" collapsed="false">
      <c r="B14" s="6" t="s">
        <v>21</v>
      </c>
      <c r="C14" s="10" t="n">
        <v>0.05</v>
      </c>
      <c r="D14" s="6" t="s">
        <v>19</v>
      </c>
      <c r="E14" s="6" t="s">
        <v>22</v>
      </c>
    </row>
    <row r="15" customFormat="false" ht="15" hidden="false" customHeight="false" outlineLevel="0" collapsed="false">
      <c r="B15" s="6" t="s">
        <v>23</v>
      </c>
      <c r="C15" s="10" t="n">
        <v>0.08</v>
      </c>
      <c r="D15" s="6" t="s">
        <v>19</v>
      </c>
      <c r="E15" s="6" t="s">
        <v>24</v>
      </c>
    </row>
    <row r="16" customFormat="false" ht="15" hidden="false" customHeight="false" outlineLevel="0" collapsed="false">
      <c r="B16" s="6" t="s">
        <v>25</v>
      </c>
      <c r="C16" s="10" t="n">
        <v>0.1</v>
      </c>
      <c r="D16" s="6" t="s">
        <v>19</v>
      </c>
      <c r="E16" s="6" t="s">
        <v>26</v>
      </c>
    </row>
    <row r="17" customFormat="false" ht="15" hidden="false" customHeight="false" outlineLevel="0" collapsed="false">
      <c r="B17" s="6" t="s">
        <v>27</v>
      </c>
      <c r="C17" s="10" t="n">
        <v>0.02</v>
      </c>
      <c r="D17" s="6" t="s">
        <v>19</v>
      </c>
      <c r="E17" s="6" t="s">
        <v>28</v>
      </c>
    </row>
    <row r="18" customFormat="false" ht="15" hidden="false" customHeight="false" outlineLevel="0" collapsed="false">
      <c r="B18" s="6" t="s">
        <v>29</v>
      </c>
      <c r="C18" s="10" t="n">
        <v>1</v>
      </c>
      <c r="D18" s="6" t="s">
        <v>19</v>
      </c>
      <c r="E18" s="6" t="s">
        <v>30</v>
      </c>
    </row>
    <row r="19" customFormat="false" ht="15" hidden="false" customHeight="false" outlineLevel="0" collapsed="false">
      <c r="B19" s="6" t="s">
        <v>31</v>
      </c>
      <c r="C19" s="10" t="n">
        <v>1.5</v>
      </c>
      <c r="D19" s="6" t="s">
        <v>19</v>
      </c>
      <c r="E19" s="6" t="s">
        <v>32</v>
      </c>
    </row>
    <row r="20" customFormat="false" ht="15" hidden="false" customHeight="false" outlineLevel="0" collapsed="false">
      <c r="B20" s="6" t="s">
        <v>33</v>
      </c>
      <c r="C20" s="10" t="n">
        <v>0.2</v>
      </c>
      <c r="D20" s="6" t="s">
        <v>19</v>
      </c>
      <c r="E20" s="6" t="s">
        <v>34</v>
      </c>
    </row>
    <row r="21" customFormat="false" ht="15" hidden="false" customHeight="false" outlineLevel="0" collapsed="false">
      <c r="B21" s="6" t="s">
        <v>35</v>
      </c>
      <c r="C21" s="10" t="n">
        <v>0.1</v>
      </c>
      <c r="D21" s="6" t="s">
        <v>36</v>
      </c>
      <c r="E21" s="6" t="s">
        <v>37</v>
      </c>
    </row>
    <row r="22" customFormat="false" ht="15" hidden="false" customHeight="false" outlineLevel="0" collapsed="false">
      <c r="B22" s="6" t="s">
        <v>38</v>
      </c>
      <c r="C22" s="11" t="n">
        <v>0.168</v>
      </c>
      <c r="D22" s="6" t="s">
        <v>19</v>
      </c>
      <c r="E22" s="6" t="s">
        <v>39</v>
      </c>
    </row>
    <row r="23" customFormat="false" ht="15" hidden="false" customHeight="false" outlineLevel="0" collapsed="false">
      <c r="B23" s="6" t="s">
        <v>40</v>
      </c>
      <c r="C23" s="10" t="n">
        <v>0.15</v>
      </c>
      <c r="D23" s="6" t="s">
        <v>19</v>
      </c>
      <c r="E23" s="6" t="s">
        <v>41</v>
      </c>
    </row>
    <row r="24" customFormat="false" ht="15" hidden="false" customHeight="false" outlineLevel="0" collapsed="false">
      <c r="B24" s="6" t="s">
        <v>42</v>
      </c>
      <c r="C24" s="10" t="n">
        <v>0.1</v>
      </c>
      <c r="D24" s="6" t="s">
        <v>19</v>
      </c>
      <c r="E24" s="6" t="s">
        <v>43</v>
      </c>
    </row>
    <row r="25" customFormat="false" ht="15" hidden="false" customHeight="false" outlineLevel="0" collapsed="false">
      <c r="B25" s="6" t="s">
        <v>44</v>
      </c>
      <c r="C25" s="10" t="n">
        <v>0.4</v>
      </c>
      <c r="D25" s="6" t="s">
        <v>19</v>
      </c>
      <c r="E25" s="6" t="s">
        <v>45</v>
      </c>
    </row>
    <row r="26" customFormat="false" ht="15" hidden="false" customHeight="false" outlineLevel="0" collapsed="false">
      <c r="B26" s="6" t="s">
        <v>46</v>
      </c>
      <c r="C26" s="10" t="n">
        <v>0.3</v>
      </c>
      <c r="D26" s="6" t="s">
        <v>19</v>
      </c>
      <c r="E26" s="6" t="s">
        <v>47</v>
      </c>
    </row>
    <row r="27" customFormat="false" ht="15" hidden="false" customHeight="false" outlineLevel="0" collapsed="false">
      <c r="B27" s="6" t="s">
        <v>48</v>
      </c>
      <c r="C27" s="10" t="n">
        <v>0.1</v>
      </c>
      <c r="D27" s="6" t="s">
        <v>19</v>
      </c>
      <c r="E27" s="6" t="s">
        <v>49</v>
      </c>
    </row>
    <row r="28" customFormat="false" ht="15" hidden="false" customHeight="false" outlineLevel="0" collapsed="false">
      <c r="B28" s="6" t="s">
        <v>50</v>
      </c>
      <c r="C28" s="8" t="n">
        <v>15</v>
      </c>
      <c r="D28" s="6" t="s">
        <v>51</v>
      </c>
      <c r="E28" s="6" t="s">
        <v>52</v>
      </c>
    </row>
    <row r="29" customFormat="false" ht="15" hidden="false" customHeight="false" outlineLevel="0" collapsed="false">
      <c r="B29" s="6" t="s">
        <v>53</v>
      </c>
      <c r="C29" s="12" t="n">
        <v>-1</v>
      </c>
      <c r="D29" s="6" t="s">
        <v>19</v>
      </c>
      <c r="E29" s="6" t="s">
        <v>54</v>
      </c>
    </row>
    <row r="30" customFormat="false" ht="15" hidden="false" customHeight="false" outlineLevel="0" collapsed="false">
      <c r="B30" s="6" t="s">
        <v>55</v>
      </c>
      <c r="C30" s="10" t="n">
        <v>2.5</v>
      </c>
      <c r="D30" s="6" t="s">
        <v>19</v>
      </c>
      <c r="E30" s="6" t="s">
        <v>56</v>
      </c>
    </row>
    <row r="31" customFormat="false" ht="15" hidden="false" customHeight="false" outlineLevel="0" collapsed="false">
      <c r="B31" s="6" t="s">
        <v>57</v>
      </c>
      <c r="C31" s="10" t="n">
        <v>0.09</v>
      </c>
      <c r="D31" s="6" t="s">
        <v>58</v>
      </c>
      <c r="E31" s="6" t="s">
        <v>59</v>
      </c>
    </row>
    <row r="32" customFormat="false" ht="15" hidden="false" customHeight="false" outlineLevel="0" collapsed="false">
      <c r="B32" s="6" t="s">
        <v>60</v>
      </c>
      <c r="C32" s="10" t="n">
        <v>0.1</v>
      </c>
      <c r="D32" s="6" t="s">
        <v>19</v>
      </c>
      <c r="E32" s="6" t="s">
        <v>61</v>
      </c>
    </row>
    <row r="33" customFormat="false" ht="15" hidden="false" customHeight="false" outlineLevel="0" collapsed="false">
      <c r="B33" s="6" t="s">
        <v>62</v>
      </c>
      <c r="C33" s="10" t="n">
        <v>0.1</v>
      </c>
      <c r="D33" s="6" t="s">
        <v>36</v>
      </c>
      <c r="E33" s="6" t="s">
        <v>63</v>
      </c>
    </row>
    <row r="34" customFormat="false" ht="15" hidden="false" customHeight="false" outlineLevel="0" collapsed="false">
      <c r="B34" s="6" t="s">
        <v>64</v>
      </c>
      <c r="C34" s="10" t="n">
        <v>0.5</v>
      </c>
      <c r="D34" s="6" t="s">
        <v>19</v>
      </c>
      <c r="E34" s="6" t="s">
        <v>65</v>
      </c>
    </row>
    <row r="35" customFormat="false" ht="15" hidden="false" customHeight="false" outlineLevel="0" collapsed="false">
      <c r="B35" s="6" t="s">
        <v>66</v>
      </c>
      <c r="C35" s="10" t="n">
        <v>0.2</v>
      </c>
      <c r="D35" s="6" t="s">
        <v>19</v>
      </c>
      <c r="E35" s="6" t="s">
        <v>67</v>
      </c>
    </row>
    <row r="36" customFormat="false" ht="15" hidden="false" customHeight="false" outlineLevel="0" collapsed="false">
      <c r="B36" s="6" t="s">
        <v>68</v>
      </c>
      <c r="C36" s="10" t="n">
        <v>0.2</v>
      </c>
      <c r="D36" s="6" t="s">
        <v>19</v>
      </c>
      <c r="E36" s="6"/>
    </row>
    <row r="37" customFormat="false" ht="15" hidden="false" customHeight="false" outlineLevel="0" collapsed="false">
      <c r="B37" s="6" t="s">
        <v>69</v>
      </c>
      <c r="C37" s="10" t="n">
        <v>0.1</v>
      </c>
      <c r="D37" s="6" t="s">
        <v>19</v>
      </c>
      <c r="E37" s="6" t="s">
        <v>70</v>
      </c>
    </row>
    <row r="38" customFormat="false" ht="15" hidden="false" customHeight="false" outlineLevel="0" collapsed="false">
      <c r="B38" s="6" t="s">
        <v>71</v>
      </c>
      <c r="C38" s="10" t="n">
        <v>0.1</v>
      </c>
      <c r="D38" s="6" t="s">
        <v>19</v>
      </c>
      <c r="E38" s="6"/>
    </row>
    <row r="39" customFormat="false" ht="15" hidden="false" customHeight="false" outlineLevel="0" collapsed="false">
      <c r="B39" s="6" t="s">
        <v>72</v>
      </c>
      <c r="C39" s="10" t="n">
        <v>0.1</v>
      </c>
      <c r="D39" s="6" t="s">
        <v>19</v>
      </c>
      <c r="E39" s="6" t="s">
        <v>73</v>
      </c>
    </row>
    <row r="40" customFormat="false" ht="15" hidden="false" customHeight="false" outlineLevel="0" collapsed="false">
      <c r="B40" s="6" t="s">
        <v>74</v>
      </c>
      <c r="C40" s="10" t="n">
        <v>0.1</v>
      </c>
      <c r="D40" s="6" t="s">
        <v>19</v>
      </c>
      <c r="E40" s="6" t="s">
        <v>75</v>
      </c>
    </row>
    <row r="41" customFormat="false" ht="15" hidden="false" customHeight="false" outlineLevel="0" collapsed="false">
      <c r="B41" s="6" t="s">
        <v>76</v>
      </c>
      <c r="C41" s="11" t="n">
        <v>0.006</v>
      </c>
      <c r="D41" s="6" t="s">
        <v>19</v>
      </c>
      <c r="E41" s="6"/>
    </row>
    <row r="42" customFormat="false" ht="15" hidden="false" customHeight="false" outlineLevel="0" collapsed="false">
      <c r="B42" s="6" t="s">
        <v>77</v>
      </c>
      <c r="C42" s="10" t="n">
        <v>0.3</v>
      </c>
      <c r="D42" s="6" t="s">
        <v>19</v>
      </c>
      <c r="E42" s="6" t="s">
        <v>78</v>
      </c>
    </row>
    <row r="43" customFormat="false" ht="15" hidden="false" customHeight="false" outlineLevel="0" collapsed="false">
      <c r="B43" s="6" t="s">
        <v>79</v>
      </c>
      <c r="C43" s="10" t="n">
        <v>0.15</v>
      </c>
      <c r="D43" s="6" t="s">
        <v>19</v>
      </c>
      <c r="E43" s="6" t="s">
        <v>80</v>
      </c>
    </row>
    <row r="44" customFormat="false" ht="15" hidden="false" customHeight="false" outlineLevel="0" collapsed="false">
      <c r="B44" s="6" t="s">
        <v>81</v>
      </c>
      <c r="C44" s="10" t="n">
        <v>0.25</v>
      </c>
      <c r="D44" s="6" t="s">
        <v>19</v>
      </c>
      <c r="E44" s="6" t="s">
        <v>82</v>
      </c>
    </row>
    <row r="45" customFormat="false" ht="15" hidden="false" customHeight="false" outlineLevel="0" collapsed="false">
      <c r="B45" s="6" t="s">
        <v>83</v>
      </c>
      <c r="C45" s="10" t="n">
        <v>0.2</v>
      </c>
      <c r="D45" s="6" t="s">
        <v>19</v>
      </c>
      <c r="E45" s="6" t="s">
        <v>84</v>
      </c>
    </row>
    <row r="46" customFormat="false" ht="15" hidden="false" customHeight="false" outlineLevel="0" collapsed="false">
      <c r="B46" s="6" t="s">
        <v>85</v>
      </c>
      <c r="C46" s="10" t="n">
        <v>1.1</v>
      </c>
      <c r="D46" s="6" t="s">
        <v>19</v>
      </c>
      <c r="E46" s="6" t="s">
        <v>86</v>
      </c>
    </row>
    <row r="47" customFormat="false" ht="15" hidden="false" customHeight="false" outlineLevel="0" collapsed="false">
      <c r="B47" s="6" t="s">
        <v>87</v>
      </c>
      <c r="C47" s="10" t="n">
        <v>0.05</v>
      </c>
      <c r="D47" s="6" t="s">
        <v>19</v>
      </c>
      <c r="E47" s="6" t="s">
        <v>88</v>
      </c>
    </row>
    <row r="48" customFormat="false" ht="15" hidden="false" customHeight="false" outlineLevel="0" collapsed="false">
      <c r="B48" s="6" t="s">
        <v>89</v>
      </c>
      <c r="C48" s="10" t="n">
        <v>1.25</v>
      </c>
      <c r="D48" s="6" t="s">
        <v>19</v>
      </c>
      <c r="E48" s="6"/>
    </row>
    <row r="49" customFormat="false" ht="15" hidden="false" customHeight="false" outlineLevel="0" collapsed="false">
      <c r="B49" s="6" t="s">
        <v>90</v>
      </c>
      <c r="C49" s="10" t="n">
        <v>0.2</v>
      </c>
      <c r="D49" s="6" t="s">
        <v>19</v>
      </c>
      <c r="E49" s="6" t="s">
        <v>91</v>
      </c>
    </row>
    <row r="50" customFormat="false" ht="15" hidden="false" customHeight="false" outlineLevel="0" collapsed="false">
      <c r="B50" s="6" t="s">
        <v>92</v>
      </c>
      <c r="C50" s="10" t="n">
        <v>0.2</v>
      </c>
      <c r="D50" s="6" t="s">
        <v>19</v>
      </c>
      <c r="E50" s="6"/>
    </row>
    <row r="51" customFormat="false" ht="15" hidden="false" customHeight="false" outlineLevel="0" collapsed="false">
      <c r="B51" s="6" t="s">
        <v>93</v>
      </c>
      <c r="C51" s="10" t="n">
        <v>0.05</v>
      </c>
      <c r="D51" s="6" t="s">
        <v>19</v>
      </c>
      <c r="E51" s="6" t="s">
        <v>94</v>
      </c>
    </row>
    <row r="53" customFormat="false" ht="15" hidden="false" customHeight="false" outlineLevel="0" collapsed="false">
      <c r="B53" s="4" t="s">
        <v>95</v>
      </c>
      <c r="C53" s="5"/>
      <c r="D53" s="5"/>
      <c r="E53" s="5"/>
    </row>
    <row r="54" customFormat="false" ht="15" hidden="false" customHeight="false" outlineLevel="0" collapsed="false">
      <c r="B54" s="6" t="s">
        <v>96</v>
      </c>
      <c r="C54" s="13" t="n">
        <v>9.81</v>
      </c>
      <c r="D54" s="6" t="s">
        <v>97</v>
      </c>
      <c r="E54" s="6"/>
    </row>
    <row r="55" customFormat="false" ht="15" hidden="false" customHeight="false" outlineLevel="0" collapsed="false">
      <c r="B55" s="6" t="s">
        <v>98</v>
      </c>
      <c r="C55" s="13" t="n">
        <v>9.81</v>
      </c>
      <c r="D55" s="6" t="s">
        <v>99</v>
      </c>
      <c r="E55" s="6"/>
    </row>
    <row r="56" customFormat="false" ht="15" hidden="false" customHeight="false" outlineLevel="0" collapsed="false">
      <c r="B56" s="6" t="s">
        <v>100</v>
      </c>
      <c r="C56" s="14" t="n">
        <v>1.38</v>
      </c>
      <c r="D56" s="6" t="s">
        <v>101</v>
      </c>
      <c r="E56" s="6" t="s">
        <v>102</v>
      </c>
    </row>
    <row r="57" customFormat="false" ht="15" hidden="false" customHeight="false" outlineLevel="0" collapsed="false">
      <c r="B57" s="6" t="s">
        <v>103</v>
      </c>
      <c r="C57" s="14" t="n">
        <v>0.578</v>
      </c>
      <c r="D57" s="6" t="s">
        <v>101</v>
      </c>
      <c r="E57" s="6" t="s">
        <v>104</v>
      </c>
    </row>
    <row r="58" customFormat="false" ht="15" hidden="false" customHeight="false" outlineLevel="0" collapsed="false">
      <c r="B58" s="6" t="s">
        <v>105</v>
      </c>
      <c r="C58" s="15" t="n">
        <v>0.00085</v>
      </c>
      <c r="D58" s="6" t="s">
        <v>19</v>
      </c>
      <c r="E58" s="6" t="s">
        <v>104</v>
      </c>
    </row>
    <row r="59" customFormat="false" ht="15" hidden="false" customHeight="false" outlineLevel="0" collapsed="false">
      <c r="B59" s="6" t="s">
        <v>106</v>
      </c>
      <c r="C59" s="13" t="n">
        <v>1.84</v>
      </c>
      <c r="D59" s="6" t="s">
        <v>101</v>
      </c>
      <c r="E59" s="6" t="s">
        <v>107</v>
      </c>
    </row>
    <row r="60" customFormat="false" ht="15" hidden="false" customHeight="false" outlineLevel="0" collapsed="false">
      <c r="B60" s="6" t="s">
        <v>108</v>
      </c>
      <c r="C60" s="13" t="n">
        <v>0.6</v>
      </c>
      <c r="D60" s="6" t="s">
        <v>101</v>
      </c>
      <c r="E60" s="6" t="s">
        <v>109</v>
      </c>
    </row>
    <row r="61" customFormat="false" ht="15" hidden="false" customHeight="false" outlineLevel="0" collapsed="false">
      <c r="B61" s="6" t="s">
        <v>110</v>
      </c>
      <c r="C61" s="16" t="n">
        <v>205</v>
      </c>
      <c r="D61" s="6" t="s">
        <v>111</v>
      </c>
      <c r="E61" s="6"/>
    </row>
    <row r="62" customFormat="false" ht="15" hidden="false" customHeight="false" outlineLevel="0" collapsed="false">
      <c r="B62" s="6" t="s">
        <v>112</v>
      </c>
      <c r="C62" s="16" t="n">
        <v>400</v>
      </c>
      <c r="D62" s="6" t="s">
        <v>111</v>
      </c>
      <c r="E62" s="6"/>
    </row>
    <row r="63" customFormat="false" ht="15" hidden="false" customHeight="false" outlineLevel="0" collapsed="false">
      <c r="B63" s="6" t="s">
        <v>113</v>
      </c>
      <c r="C63" s="9" t="n">
        <v>1.7</v>
      </c>
      <c r="D63" s="6" t="s">
        <v>101</v>
      </c>
      <c r="E63" s="6"/>
    </row>
    <row r="65" customFormat="false" ht="15" hidden="false" customHeight="false" outlineLevel="0" collapsed="false">
      <c r="B65" s="4" t="s">
        <v>114</v>
      </c>
      <c r="C65" s="5"/>
      <c r="D65" s="5"/>
      <c r="E65" s="5"/>
    </row>
    <row r="66" customFormat="false" ht="15" hidden="false" customHeight="false" outlineLevel="0" collapsed="false">
      <c r="B66" s="6" t="s">
        <v>115</v>
      </c>
      <c r="C66" s="17" t="s">
        <v>116</v>
      </c>
      <c r="D66" s="6"/>
      <c r="E66" s="6" t="s">
        <v>117</v>
      </c>
    </row>
    <row r="67" customFormat="false" ht="15" hidden="false" customHeight="false" outlineLevel="0" collapsed="false">
      <c r="B67" s="6" t="s">
        <v>118</v>
      </c>
      <c r="C67" s="18" t="s">
        <v>119</v>
      </c>
      <c r="D67" s="6"/>
      <c r="E67" s="6" t="s">
        <v>120</v>
      </c>
    </row>
    <row r="68" customFormat="false" ht="15" hidden="false" customHeight="false" outlineLevel="0" collapsed="false">
      <c r="B68" s="6" t="s">
        <v>121</v>
      </c>
      <c r="C68" s="6" t="s">
        <v>122</v>
      </c>
      <c r="D68" s="6"/>
      <c r="E68" s="6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8.65" hidden="false" customHeight="false" outlineLevel="0" collapsed="false">
      <c r="B1" s="1" t="s">
        <v>124</v>
      </c>
    </row>
    <row r="2" customFormat="false" ht="15" hidden="false" customHeight="false" outlineLevel="0" collapsed="false">
      <c r="B2" s="2" t="s">
        <v>125</v>
      </c>
    </row>
    <row r="4" customFormat="false" ht="15" hidden="false" customHeight="false" outlineLevel="0" collapsed="false">
      <c r="B4" s="4" t="s">
        <v>126</v>
      </c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B5" s="6" t="s">
        <v>127</v>
      </c>
      <c r="C5" s="14" t="n">
        <f aca="false">'1 ข้อมูล'!$C$56</f>
        <v>1.38</v>
      </c>
      <c r="D5" s="6" t="s">
        <v>101</v>
      </c>
      <c r="E5" s="6" t="s">
        <v>128</v>
      </c>
      <c r="F5" s="6"/>
      <c r="G5" s="6"/>
      <c r="H5" s="6"/>
    </row>
    <row r="6" customFormat="false" ht="26.85" hidden="false" customHeight="false" outlineLevel="0" collapsed="false">
      <c r="B6" s="6" t="s">
        <v>129</v>
      </c>
      <c r="C6" s="19" t="n">
        <f aca="false">'1 ข้อมูล'!$C$57*(8/15)*SQRT(2*'1 ข้อมูล'!$C$54)</f>
        <v>1.36545083661038</v>
      </c>
      <c r="D6" s="6" t="s">
        <v>101</v>
      </c>
      <c r="E6" s="6" t="s">
        <v>130</v>
      </c>
      <c r="F6" s="6"/>
      <c r="G6" s="6"/>
      <c r="H6" s="6"/>
    </row>
    <row r="8" customFormat="false" ht="15" hidden="false" customHeight="false" outlineLevel="0" collapsed="false">
      <c r="B8" s="4" t="s">
        <v>131</v>
      </c>
      <c r="C8" s="5"/>
      <c r="D8" s="5"/>
      <c r="E8" s="5"/>
      <c r="F8" s="5"/>
      <c r="G8" s="5"/>
      <c r="H8" s="5"/>
    </row>
    <row r="9" customFormat="false" ht="57.75" hidden="false" customHeight="true" outlineLevel="0" collapsed="false">
      <c r="B9" s="3" t="s">
        <v>132</v>
      </c>
      <c r="C9" s="3" t="s">
        <v>133</v>
      </c>
      <c r="D9" s="3" t="s">
        <v>134</v>
      </c>
      <c r="E9" s="3" t="s">
        <v>135</v>
      </c>
      <c r="F9" s="3" t="s">
        <v>136</v>
      </c>
      <c r="G9" s="3" t="s">
        <v>137</v>
      </c>
      <c r="H9" s="3" t="s">
        <v>138</v>
      </c>
    </row>
    <row r="10" customFormat="false" ht="15" hidden="false" customHeight="false" outlineLevel="0" collapsed="false">
      <c r="B10" s="6" t="s">
        <v>139</v>
      </c>
      <c r="C10" s="9" t="n">
        <f aca="false">'1 ข้อมูล'!$C$7-'1 ข้อมูล'!$C$9</f>
        <v>40</v>
      </c>
      <c r="D10" s="15" t="n">
        <f aca="false">C10/3600</f>
        <v>0.0111111111111111</v>
      </c>
      <c r="E10" s="20" t="n">
        <f aca="false">(D10/'2 เวียร์'!$C$5)^0.4*100</f>
        <v>14.532869095236</v>
      </c>
      <c r="F10" s="9" t="n">
        <f aca="false">((D10/'2 เวียร์'!$C$6)^0.4-'1 ข้อมูล'!$C$58)*100</f>
        <v>14.5096125168743</v>
      </c>
      <c r="G10" s="21" t="n">
        <f aca="false">E10-F10</f>
        <v>0.0232565783616678</v>
      </c>
      <c r="H10" s="6"/>
    </row>
    <row r="11" customFormat="false" ht="15" hidden="false" customHeight="false" outlineLevel="0" collapsed="false">
      <c r="B11" s="6" t="s">
        <v>140</v>
      </c>
      <c r="C11" s="9" t="n">
        <f aca="false">'1 ข้อมูล'!$C$10-'1 ข้อมูล'!$C$9</f>
        <v>52.7916666666667</v>
      </c>
      <c r="D11" s="15" t="n">
        <f aca="false">C11/3600</f>
        <v>0.0146643518518519</v>
      </c>
      <c r="E11" s="20" t="n">
        <f aca="false">(D11/'2 เวียร์'!$C$5)^0.4*100</f>
        <v>16.2387843483091</v>
      </c>
      <c r="F11" s="9" t="n">
        <f aca="false">((D11/'2 เวียร์'!$C$6)^0.4-'1 ข้อมูล'!$C$58)*100</f>
        <v>16.2227754127948</v>
      </c>
      <c r="G11" s="21" t="n">
        <f aca="false">E11-F11</f>
        <v>0.0160089355143072</v>
      </c>
      <c r="H11" s="6" t="s">
        <v>141</v>
      </c>
    </row>
    <row r="12" customFormat="false" ht="15" hidden="false" customHeight="false" outlineLevel="0" collapsed="false">
      <c r="B12" s="6" t="s">
        <v>142</v>
      </c>
      <c r="C12" s="9" t="n">
        <f aca="false">'1 ข้อมูล'!$C$8-'1 ข้อมูล'!$C$9</f>
        <v>90</v>
      </c>
      <c r="D12" s="15" t="n">
        <f aca="false">C12/3600</f>
        <v>0.025</v>
      </c>
      <c r="E12" s="20" t="n">
        <f aca="false">(D12/'2 เวียร์'!$C$5)^0.4*100</f>
        <v>20.1013103538681</v>
      </c>
      <c r="F12" s="9" t="n">
        <f aca="false">((D12/'2 เวียร์'!$C$6)^0.4-'1 ข้อมูล'!$C$58)*100</f>
        <v>20.1017115002301</v>
      </c>
      <c r="G12" s="21" t="n">
        <f aca="false">E12-F12</f>
        <v>-0.000401146361987514</v>
      </c>
      <c r="H12" s="6"/>
    </row>
    <row r="13" customFormat="false" ht="15" hidden="false" customHeight="false" outlineLevel="0" collapsed="false">
      <c r="B13" s="22" t="s">
        <v>143</v>
      </c>
      <c r="C13" s="9" t="n">
        <f aca="false">'1 ข้อมูล'!$C$8</f>
        <v>100</v>
      </c>
      <c r="D13" s="15" t="n">
        <f aca="false">C13/3600</f>
        <v>0.0277777777777778</v>
      </c>
      <c r="E13" s="20" t="n">
        <f aca="false">(D13/'2 เวียร์'!$C$5)^0.4*100</f>
        <v>20.9665688762588</v>
      </c>
      <c r="F13" s="9" t="n">
        <f aca="false">((D13/'2 เวียร์'!$C$6)^0.4-'1 ข้อมูล'!$C$58)*100</f>
        <v>20.9706461048468</v>
      </c>
      <c r="G13" s="21" t="n">
        <f aca="false">E13-F13</f>
        <v>-0.00407722858800952</v>
      </c>
      <c r="H13" s="6" t="s">
        <v>144</v>
      </c>
    </row>
    <row r="15" customFormat="false" ht="15" hidden="false" customHeight="false" outlineLevel="0" collapsed="false">
      <c r="B15" s="23" t="s">
        <v>145</v>
      </c>
    </row>
    <row r="16" customFormat="false" ht="15" hidden="false" customHeight="false" outlineLevel="0" collapsed="false">
      <c r="B16" s="23" t="s">
        <v>146</v>
      </c>
    </row>
    <row r="17" customFormat="false" ht="15" hidden="false" customHeight="false" outlineLevel="0" collapsed="false">
      <c r="B17" s="23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40"/>
  </cols>
  <sheetData>
    <row r="1" customFormat="false" ht="18.65" hidden="false" customHeight="false" outlineLevel="0" collapsed="false">
      <c r="B1" s="1" t="s">
        <v>148</v>
      </c>
    </row>
    <row r="2" customFormat="false" ht="15" hidden="false" customHeight="false" outlineLevel="0" collapsed="false">
      <c r="B2" s="2" t="s">
        <v>149</v>
      </c>
    </row>
    <row r="4" customFormat="false" ht="15" hidden="false" customHeight="false" outlineLevel="0" collapsed="false">
      <c r="B4" s="3" t="s">
        <v>2</v>
      </c>
      <c r="C4" s="3" t="s">
        <v>150</v>
      </c>
      <c r="D4" s="3" t="s">
        <v>151</v>
      </c>
      <c r="E4" s="3" t="s">
        <v>152</v>
      </c>
      <c r="F4" s="3" t="s">
        <v>4</v>
      </c>
      <c r="G4" s="3" t="s">
        <v>153</v>
      </c>
    </row>
    <row r="6" customFormat="false" ht="15" hidden="false" customHeight="false" outlineLevel="0" collapsed="false">
      <c r="B6" s="4" t="s">
        <v>154</v>
      </c>
      <c r="C6" s="5"/>
      <c r="D6" s="5"/>
      <c r="E6" s="5"/>
      <c r="F6" s="5"/>
      <c r="G6" s="5"/>
    </row>
    <row r="7" customFormat="false" ht="15" hidden="false" customHeight="false" outlineLevel="0" collapsed="false">
      <c r="B7" s="6" t="s">
        <v>155</v>
      </c>
      <c r="C7" s="6" t="s">
        <v>156</v>
      </c>
      <c r="D7" s="14"/>
      <c r="E7" s="24" t="n">
        <f aca="false">('2 เวียร์'!$E$13/100)</f>
        <v>0.209665688762588</v>
      </c>
      <c r="F7" s="6" t="s">
        <v>19</v>
      </c>
      <c r="G7" s="6" t="s">
        <v>157</v>
      </c>
    </row>
    <row r="8" customFormat="false" ht="15" hidden="false" customHeight="false" outlineLevel="0" collapsed="false">
      <c r="B8" s="6" t="s">
        <v>158</v>
      </c>
      <c r="C8" s="6" t="s">
        <v>159</v>
      </c>
      <c r="D8" s="14" t="n">
        <f aca="false">MAX(0.45,'3 ขนาดบ่อ'!$E$7/0.4)+'1 ข้อมูล'!$C$14</f>
        <v>0.574164221906469</v>
      </c>
      <c r="E8" s="24" t="n">
        <f aca="false">CEILING(ROUND(D8,4),'1 ข้อมูล'!$C$13)</f>
        <v>0.6</v>
      </c>
      <c r="F8" s="6" t="s">
        <v>19</v>
      </c>
      <c r="G8" s="6" t="s">
        <v>160</v>
      </c>
    </row>
    <row r="9" customFormat="false" ht="15" hidden="false" customHeight="false" outlineLevel="0" collapsed="false">
      <c r="B9" s="6" t="s">
        <v>161</v>
      </c>
      <c r="C9" s="6" t="s">
        <v>162</v>
      </c>
      <c r="D9" s="14" t="n">
        <f aca="false">'3 ขนาดบ่อ'!$E$7+'1 ข้อมูล'!$C$15</f>
        <v>0.289665688762588</v>
      </c>
      <c r="E9" s="24" t="n">
        <f aca="false">CEILING(ROUND(D9,4),'1 ข้อมูล'!$C$13)</f>
        <v>0.3</v>
      </c>
      <c r="F9" s="6" t="s">
        <v>19</v>
      </c>
      <c r="G9" s="6" t="s">
        <v>163</v>
      </c>
    </row>
    <row r="10" customFormat="false" ht="15" hidden="false" customHeight="false" outlineLevel="0" collapsed="false">
      <c r="B10" s="6" t="s">
        <v>164</v>
      </c>
      <c r="C10" s="6" t="s">
        <v>165</v>
      </c>
      <c r="D10" s="14"/>
      <c r="E10" s="24" t="n">
        <f aca="false">2*'3 ขนาดบ่อ'!$E$9</f>
        <v>0.6</v>
      </c>
      <c r="F10" s="6" t="s">
        <v>19</v>
      </c>
      <c r="G10" s="6" t="s">
        <v>166</v>
      </c>
    </row>
    <row r="11" customFormat="false" ht="15" hidden="false" customHeight="false" outlineLevel="0" collapsed="false">
      <c r="B11" s="6" t="s">
        <v>167</v>
      </c>
      <c r="C11" s="6" t="s">
        <v>168</v>
      </c>
      <c r="D11" s="14"/>
      <c r="E11" s="24" t="n">
        <f aca="false">2*'3 ขนาดบ่อ'!$E$7</f>
        <v>0.419331377525176</v>
      </c>
      <c r="F11" s="6" t="s">
        <v>19</v>
      </c>
      <c r="G11" s="6" t="s">
        <v>169</v>
      </c>
    </row>
    <row r="12" customFormat="false" ht="26.85" hidden="false" customHeight="false" outlineLevel="0" collapsed="false">
      <c r="B12" s="6" t="s">
        <v>170</v>
      </c>
      <c r="C12" s="6" t="s">
        <v>171</v>
      </c>
      <c r="D12" s="14"/>
      <c r="E12" s="24" t="n">
        <f aca="false">MAX(0.9,'3 ขนาดบ่อ'!$E$7/0.2,'3 ขนาดบ่อ'!$E$10+2*'3 ขนาดบ่อ'!$E$11)</f>
        <v>1.43866275505035</v>
      </c>
      <c r="F12" s="6" t="s">
        <v>19</v>
      </c>
      <c r="G12" s="6" t="s">
        <v>172</v>
      </c>
    </row>
    <row r="13" customFormat="false" ht="15" hidden="false" customHeight="false" outlineLevel="0" collapsed="false">
      <c r="B13" s="6" t="s">
        <v>173</v>
      </c>
      <c r="C13" s="6" t="s">
        <v>174</v>
      </c>
      <c r="D13" s="14" t="n">
        <f aca="false">MAX('3 ขนาดบ่อ'!$E$12,'1 ข้อมูล'!$C$19)</f>
        <v>1.5</v>
      </c>
      <c r="E13" s="24" t="n">
        <f aca="false">CEILING(ROUND(D13,4),'1 ข้อมูล'!$C$13)</f>
        <v>1.5</v>
      </c>
      <c r="F13" s="6" t="s">
        <v>19</v>
      </c>
      <c r="G13" s="6" t="s">
        <v>175</v>
      </c>
    </row>
    <row r="14" customFormat="false" ht="15" hidden="false" customHeight="false" outlineLevel="0" collapsed="false">
      <c r="B14" s="6" t="s">
        <v>176</v>
      </c>
      <c r="C14" s="6" t="s">
        <v>177</v>
      </c>
      <c r="D14" s="14" t="n">
        <f aca="false">10*'3 ขนาดบ่อ'!$E$7</f>
        <v>2.09665688762588</v>
      </c>
      <c r="E14" s="24" t="n">
        <f aca="false">CEILING(ROUND(D14,4),'1 ข้อมูล'!$C$13)</f>
        <v>2.1</v>
      </c>
      <c r="F14" s="6" t="s">
        <v>19</v>
      </c>
      <c r="G14" s="6" t="s">
        <v>178</v>
      </c>
    </row>
    <row r="15" customFormat="false" ht="15" hidden="false" customHeight="false" outlineLevel="0" collapsed="false">
      <c r="B15" s="6" t="s">
        <v>179</v>
      </c>
      <c r="C15" s="6" t="s">
        <v>180</v>
      </c>
      <c r="D15" s="14" t="n">
        <f aca="false">4.5*'3 ขนาดบ่อ'!$E$7</f>
        <v>0.943495599431645</v>
      </c>
      <c r="E15" s="24" t="n">
        <f aca="false">ROUND(D15/'1 ข้อมูล'!$C$13,0)*'1 ข้อมูล'!$C$13</f>
        <v>0.95</v>
      </c>
      <c r="F15" s="6" t="s">
        <v>19</v>
      </c>
      <c r="G15" s="6" t="s">
        <v>181</v>
      </c>
    </row>
    <row r="16" customFormat="false" ht="15" hidden="false" customHeight="false" outlineLevel="0" collapsed="false">
      <c r="B16" s="6" t="s">
        <v>182</v>
      </c>
      <c r="C16" s="6" t="s">
        <v>183</v>
      </c>
      <c r="D16" s="14" t="n">
        <f aca="false">'3 ขนาดบ่อ'!$E$7/'3 ขนาดบ่อ'!$E$8</f>
        <v>0.349442814604313</v>
      </c>
      <c r="E16" s="18" t="str">
        <f aca="false">IF(D16&lt;=0.4,"ผ่าน ✔","ไม่ผ่าน ✘")</f>
        <v>ผ่าน ✔</v>
      </c>
      <c r="F16" s="6"/>
      <c r="G16" s="6"/>
    </row>
    <row r="17" customFormat="false" ht="15" hidden="false" customHeight="false" outlineLevel="0" collapsed="false">
      <c r="B17" s="6" t="s">
        <v>184</v>
      </c>
      <c r="C17" s="6" t="s">
        <v>185</v>
      </c>
      <c r="D17" s="14" t="n">
        <f aca="false">'3 ขนาดบ่อ'!$E$7/'3 ขนาดบ่อ'!$E$13</f>
        <v>0.139777125841725</v>
      </c>
      <c r="E17" s="18" t="str">
        <f aca="false">IF(D17&lt;=0.2,"ผ่าน ✔","ไม่ผ่าน ✘")</f>
        <v>ผ่าน ✔</v>
      </c>
      <c r="F17" s="6"/>
      <c r="G17" s="6"/>
    </row>
    <row r="18" customFormat="false" ht="15" hidden="false" customHeight="false" outlineLevel="0" collapsed="false">
      <c r="B18" s="6" t="s">
        <v>186</v>
      </c>
      <c r="C18" s="6" t="s">
        <v>187</v>
      </c>
      <c r="D18" s="14" t="n">
        <f aca="false">('3 ขนาดบ่อ'!$E$13-'3 ขนาดบ่อ'!$E$10)/2</f>
        <v>0.45</v>
      </c>
      <c r="E18" s="18" t="str">
        <f aca="false">IF(D18&gt;=2*'3 ขนาดบ่อ'!$E$7,"ผ่าน ✔","ไม่ผ่าน ✘")</f>
        <v>ผ่าน ✔</v>
      </c>
      <c r="F18" s="6"/>
      <c r="G18" s="6" t="s">
        <v>188</v>
      </c>
    </row>
    <row r="19" customFormat="false" ht="15" hidden="false" customHeight="false" outlineLevel="0" collapsed="false">
      <c r="B19" s="6" t="s">
        <v>189</v>
      </c>
      <c r="C19" s="6" t="s">
        <v>190</v>
      </c>
      <c r="D19" s="9"/>
      <c r="E19" s="20" t="n">
        <f aca="false">'1 ข้อมูล'!$C$56*(('3 ขนาดบ่อ'!$E$13-'3 ขนาดบ่อ'!$E$10)/4)^2.5*3600</f>
        <v>119.299296438097</v>
      </c>
      <c r="F19" s="6" t="s">
        <v>11</v>
      </c>
      <c r="G19" s="6" t="s">
        <v>191</v>
      </c>
    </row>
    <row r="20" customFormat="false" ht="15" hidden="false" customHeight="false" outlineLevel="0" collapsed="false">
      <c r="B20" s="6" t="s">
        <v>192</v>
      </c>
      <c r="C20" s="6" t="s">
        <v>193</v>
      </c>
      <c r="D20" s="14" t="n">
        <f aca="false">'3 ขนาดบ่อ'!$E$15/'3 ขนาดบ่อ'!$E$7</f>
        <v>4.5310227229202</v>
      </c>
      <c r="E20" s="18" t="str">
        <f aca="false">IF(AND(D20&gt;=4,D20&lt;=5),"ผ่าน ✔","ไม่ผ่าน ✘")</f>
        <v>ผ่าน ✔</v>
      </c>
      <c r="F20" s="6"/>
      <c r="G20" s="6"/>
    </row>
    <row r="21" customFormat="false" ht="15" hidden="false" customHeight="false" outlineLevel="0" collapsed="false">
      <c r="B21" s="6" t="s">
        <v>194</v>
      </c>
      <c r="C21" s="6" t="s">
        <v>195</v>
      </c>
      <c r="D21" s="14" t="n">
        <f aca="false">'2 เวียร์'!$E$10/100</f>
        <v>0.14532869095236</v>
      </c>
      <c r="E21" s="18" t="str">
        <f aca="false">IF(D21&gt;=0.05,"ผ่าน ✔","ไม่ผ่าน ✘")</f>
        <v>ผ่าน ✔</v>
      </c>
      <c r="F21" s="6"/>
      <c r="G21" s="6" t="s">
        <v>196</v>
      </c>
    </row>
    <row r="23" customFormat="false" ht="15" hidden="false" customHeight="false" outlineLevel="0" collapsed="false">
      <c r="B23" s="4" t="s">
        <v>197</v>
      </c>
      <c r="C23" s="5"/>
      <c r="D23" s="5"/>
      <c r="E23" s="5"/>
      <c r="F23" s="5"/>
      <c r="G23" s="5"/>
    </row>
    <row r="24" customFormat="false" ht="15" hidden="false" customHeight="false" outlineLevel="0" collapsed="false">
      <c r="B24" s="6" t="s">
        <v>198</v>
      </c>
      <c r="C24" s="6" t="s">
        <v>199</v>
      </c>
      <c r="D24" s="14"/>
      <c r="E24" s="24" t="n">
        <f aca="false">'1 ข้อมูล'!$C$36/2+('2 เวียร์'!$D$13/('1 ข้อมูล'!$C$60*PI()*'1 ข้อมูล'!$C$36^2/4))^2/(2*'1 ข้อมูล'!$C$54)</f>
        <v>0.210686269183871</v>
      </c>
      <c r="F24" s="6" t="s">
        <v>19</v>
      </c>
      <c r="G24" s="6"/>
    </row>
    <row r="25" customFormat="false" ht="15" hidden="false" customHeight="false" outlineLevel="0" collapsed="false">
      <c r="B25" s="6" t="s">
        <v>200</v>
      </c>
      <c r="C25" s="6" t="s">
        <v>201</v>
      </c>
      <c r="D25" s="14" t="n">
        <f aca="false">'3 ขนาดบ่อ'!$E$8-'3 ขนาดบ่อ'!$E$24</f>
        <v>0.389313730816129</v>
      </c>
      <c r="E25" s="18" t="str">
        <f aca="false">IF(D25&gt;=0.06,"ผ่าน ✔","ไม่ผ่าน ✘")</f>
        <v>ผ่าน ✔</v>
      </c>
      <c r="F25" s="6"/>
      <c r="G25" s="6" t="s">
        <v>202</v>
      </c>
    </row>
    <row r="26" customFormat="false" ht="15" hidden="false" customHeight="false" outlineLevel="0" collapsed="false">
      <c r="B26" s="6" t="s">
        <v>203</v>
      </c>
      <c r="C26" s="6" t="s">
        <v>204</v>
      </c>
      <c r="D26" s="14"/>
      <c r="E26" s="24" t="n">
        <f aca="false">SQRT(2*'1 ข้อมูล'!$C$54*'3 ขนาดบ่อ'!$E$7)</f>
        <v>2.02821123493634</v>
      </c>
      <c r="F26" s="6" t="s">
        <v>36</v>
      </c>
      <c r="G26" s="6" t="s">
        <v>205</v>
      </c>
    </row>
    <row r="27" customFormat="false" ht="15" hidden="false" customHeight="false" outlineLevel="0" collapsed="false">
      <c r="B27" s="6" t="s">
        <v>206</v>
      </c>
      <c r="C27" s="6" t="s">
        <v>207</v>
      </c>
      <c r="D27" s="14"/>
      <c r="E27" s="24" t="n">
        <f aca="false">'3 ขนาดบ่อ'!$E$8+'3 ขนาดบ่อ'!$E$7-'3 ขนาดบ่อ'!$E$24</f>
        <v>0.598979419578717</v>
      </c>
      <c r="F27" s="6" t="s">
        <v>19</v>
      </c>
      <c r="G27" s="6"/>
    </row>
    <row r="28" customFormat="false" ht="15" hidden="false" customHeight="false" outlineLevel="0" collapsed="false">
      <c r="B28" s="6" t="s">
        <v>208</v>
      </c>
      <c r="C28" s="6" t="s">
        <v>209</v>
      </c>
      <c r="D28" s="14"/>
      <c r="E28" s="24" t="n">
        <f aca="false">'3 ขนาดบ่อ'!$E$26*SQRT(2*'3 ขนาดบ่อ'!$E$27/'1 ข้อมูล'!$C$54)</f>
        <v>0.708760700266562</v>
      </c>
      <c r="F28" s="6" t="s">
        <v>19</v>
      </c>
      <c r="G28" s="6" t="s">
        <v>210</v>
      </c>
    </row>
    <row r="29" customFormat="false" ht="15" hidden="false" customHeight="false" outlineLevel="0" collapsed="false">
      <c r="B29" s="6" t="s">
        <v>211</v>
      </c>
      <c r="C29" s="6" t="s">
        <v>212</v>
      </c>
      <c r="D29" s="14" t="n">
        <f aca="false">'3 ขนาดบ่อ'!$E$28+'1 ข้อมูล'!$C$35</f>
        <v>0.908760700266562</v>
      </c>
      <c r="E29" s="24" t="n">
        <f aca="false">CEILING(ROUND(D29,4),'1 ข้อมูล'!$C$13)</f>
        <v>0.95</v>
      </c>
      <c r="F29" s="6" t="s">
        <v>19</v>
      </c>
      <c r="G29" s="6"/>
    </row>
    <row r="31" customFormat="false" ht="15" hidden="false" customHeight="false" outlineLevel="0" collapsed="false">
      <c r="B31" s="4" t="s">
        <v>213</v>
      </c>
      <c r="C31" s="5"/>
      <c r="D31" s="5"/>
      <c r="E31" s="5"/>
      <c r="F31" s="5"/>
      <c r="G31" s="5"/>
    </row>
    <row r="32" customFormat="false" ht="15" hidden="false" customHeight="false" outlineLevel="0" collapsed="false">
      <c r="B32" s="6" t="s">
        <v>214</v>
      </c>
      <c r="C32" s="6" t="s">
        <v>215</v>
      </c>
      <c r="D32" s="14"/>
      <c r="E32" s="24" t="n">
        <f aca="false">'3 ขนาดบ่อ'!$E$8+'3 ขนาดบ่อ'!$E$7</f>
        <v>0.809665688762588</v>
      </c>
      <c r="F32" s="6" t="s">
        <v>19</v>
      </c>
      <c r="G32" s="6"/>
    </row>
    <row r="33" customFormat="false" ht="15" hidden="false" customHeight="false" outlineLevel="0" collapsed="false">
      <c r="B33" s="6" t="s">
        <v>216</v>
      </c>
      <c r="C33" s="6" t="s">
        <v>217</v>
      </c>
      <c r="D33" s="14"/>
      <c r="E33" s="24" t="n">
        <f aca="false">'2 เวียร์'!$D$13/('3 ขนาดบ่อ'!$E$13*'3 ขนาดบ่อ'!$E$32)</f>
        <v>0.0228718084211032</v>
      </c>
      <c r="F33" s="6" t="s">
        <v>36</v>
      </c>
      <c r="G33" s="6"/>
    </row>
    <row r="34" customFormat="false" ht="15" hidden="false" customHeight="false" outlineLevel="0" collapsed="false">
      <c r="B34" s="6" t="s">
        <v>218</v>
      </c>
      <c r="C34" s="6" t="s">
        <v>219</v>
      </c>
      <c r="D34" s="14"/>
      <c r="E34" s="24" t="n">
        <f aca="false">'3 ขนาดบ่อ'!$E$32/'1 ข้อมูล'!$C$33*'3 ขนาดบ่อ'!$E$33</f>
        <v>0.185185185185185</v>
      </c>
      <c r="F34" s="6" t="s">
        <v>19</v>
      </c>
      <c r="G34" s="6"/>
    </row>
    <row r="35" customFormat="false" ht="15" hidden="false" customHeight="false" outlineLevel="0" collapsed="false">
      <c r="B35" s="6" t="s">
        <v>220</v>
      </c>
      <c r="C35" s="6" t="s">
        <v>221</v>
      </c>
      <c r="D35" s="14" t="n">
        <f aca="false">MAX('1 ข้อมูล'!$C$34,'3 ขนาดบ่อ'!$E$34)</f>
        <v>0.5</v>
      </c>
      <c r="E35" s="24" t="n">
        <f aca="false">CEILING(ROUND(D35,4),'1 ข้อมูล'!$C$13)</f>
        <v>0.5</v>
      </c>
      <c r="F35" s="6" t="s">
        <v>19</v>
      </c>
      <c r="G35" s="6" t="s">
        <v>222</v>
      </c>
    </row>
    <row r="36" customFormat="false" ht="15" hidden="false" customHeight="false" outlineLevel="0" collapsed="false">
      <c r="B36" s="6" t="s">
        <v>223</v>
      </c>
      <c r="C36" s="6" t="s">
        <v>224</v>
      </c>
      <c r="D36" s="14" t="n">
        <f aca="false">'2 เวียร์'!$D$13/('3 ขนาดบ่อ'!$E$13*'1 ข้อมูล'!$C$21)</f>
        <v>0.185185185185185</v>
      </c>
      <c r="E36" s="24" t="n">
        <f aca="false">CEILING(ROUND(D36,4),'1 ข้อมูล'!$C$13)</f>
        <v>0.2</v>
      </c>
      <c r="F36" s="6" t="s">
        <v>19</v>
      </c>
      <c r="G36" s="6" t="s">
        <v>225</v>
      </c>
    </row>
    <row r="37" customFormat="false" ht="15" hidden="false" customHeight="false" outlineLevel="0" collapsed="false">
      <c r="B37" s="6" t="s">
        <v>226</v>
      </c>
      <c r="C37" s="6" t="s">
        <v>227</v>
      </c>
      <c r="D37" s="14"/>
      <c r="E37" s="24" t="n">
        <f aca="false">'3 ขนาดบ่อ'!$E$36</f>
        <v>0.2</v>
      </c>
      <c r="F37" s="6" t="s">
        <v>19</v>
      </c>
      <c r="G37" s="6"/>
    </row>
    <row r="38" customFormat="false" ht="15" hidden="false" customHeight="false" outlineLevel="0" collapsed="false">
      <c r="B38" s="6" t="s">
        <v>228</v>
      </c>
      <c r="C38" s="6" t="s">
        <v>229</v>
      </c>
      <c r="D38" s="14" t="n">
        <f aca="false">'3 ขนาดบ่อ'!$E$36+'1 ข้อมูล'!$C$27</f>
        <v>0.3</v>
      </c>
      <c r="E38" s="24" t="n">
        <f aca="false">CEILING(ROUND(D38,4),'1 ข้อมูล'!$C$13)</f>
        <v>0.3</v>
      </c>
      <c r="F38" s="6" t="s">
        <v>19</v>
      </c>
      <c r="G38" s="6" t="s">
        <v>230</v>
      </c>
    </row>
    <row r="39" customFormat="false" ht="15" hidden="false" customHeight="false" outlineLevel="0" collapsed="false">
      <c r="B39" s="6" t="s">
        <v>231</v>
      </c>
      <c r="C39" s="6" t="s">
        <v>232</v>
      </c>
      <c r="D39" s="14"/>
      <c r="E39" s="24" t="n">
        <f aca="false">'3 ขนาดบ่อ'!$E$35-'3 ขนาดบ่อ'!$E$37</f>
        <v>0.3</v>
      </c>
      <c r="F39" s="6" t="s">
        <v>19</v>
      </c>
      <c r="G39" s="6" t="s">
        <v>233</v>
      </c>
    </row>
    <row r="40" customFormat="false" ht="15" hidden="false" customHeight="false" outlineLevel="0" collapsed="false">
      <c r="B40" s="6" t="s">
        <v>234</v>
      </c>
      <c r="C40" s="6"/>
      <c r="D40" s="14" t="n">
        <f aca="false">'3 ขนาดบ่อ'!$E$39-'3 ขนาดบ่อ'!$E$34</f>
        <v>0.114814814814815</v>
      </c>
      <c r="E40" s="18" t="str">
        <f aca="false">IF(D40&gt;=0,"ผ่าน ✔","ไม่ผ่าน ✘")</f>
        <v>ผ่าน ✔</v>
      </c>
      <c r="F40" s="6"/>
      <c r="G40" s="6" t="s">
        <v>235</v>
      </c>
    </row>
    <row r="41" customFormat="false" ht="15" hidden="false" customHeight="false" outlineLevel="0" collapsed="false">
      <c r="B41" s="6" t="s">
        <v>236</v>
      </c>
      <c r="C41" s="6" t="s">
        <v>237</v>
      </c>
      <c r="D41" s="14"/>
      <c r="E41" s="24" t="n">
        <f aca="false">'2 เวียร์'!$D$13/('3 ขนาดบ่อ'!$E$13*('3 ขนาดบ่อ'!$E$32-'3 ขนาดบ่อ'!$E$38))</f>
        <v>0.0363346384244139</v>
      </c>
      <c r="F41" s="6" t="s">
        <v>36</v>
      </c>
      <c r="G41" s="6"/>
    </row>
    <row r="42" customFormat="false" ht="15" hidden="false" customHeight="false" outlineLevel="0" collapsed="false">
      <c r="B42" s="6" t="s">
        <v>238</v>
      </c>
      <c r="C42" s="6"/>
      <c r="D42" s="14" t="n">
        <f aca="false">'3 ขนาดบ่อ'!$E$41</f>
        <v>0.0363346384244139</v>
      </c>
      <c r="E42" s="18" t="str">
        <f aca="false">IF(D42&lt;=0.1,"ผ่าน ✔","ไม่ผ่าน ✘")</f>
        <v>ผ่าน ✔</v>
      </c>
      <c r="F42" s="6"/>
      <c r="G42" s="6"/>
    </row>
    <row r="43" customFormat="false" ht="15" hidden="false" customHeight="false" outlineLevel="0" collapsed="false">
      <c r="B43" s="6" t="s">
        <v>239</v>
      </c>
      <c r="C43" s="6" t="s">
        <v>240</v>
      </c>
      <c r="D43" s="14" t="n">
        <f aca="false">'3 ขนาดบ่อ'!$E$8+'2 เวียร์'!$E$10/100-'3 ขนาดบ่อ'!$E$38</f>
        <v>0.44532869095236</v>
      </c>
      <c r="E43" s="18" t="str">
        <f aca="false">IF(D43&gt;=0.1,"ผ่าน ✔","ไม่ผ่าน ✘")</f>
        <v>ผ่าน ✔</v>
      </c>
      <c r="F43" s="6"/>
      <c r="G43" s="6"/>
    </row>
    <row r="45" customFormat="false" ht="15" hidden="false" customHeight="false" outlineLevel="0" collapsed="false">
      <c r="B45" s="4" t="s">
        <v>241</v>
      </c>
      <c r="C45" s="5"/>
      <c r="D45" s="5"/>
      <c r="E45" s="5"/>
      <c r="F45" s="5"/>
      <c r="G45" s="5"/>
    </row>
    <row r="46" customFormat="false" ht="15" hidden="false" customHeight="false" outlineLevel="0" collapsed="false">
      <c r="B46" s="6" t="s">
        <v>242</v>
      </c>
      <c r="C46" s="6" t="s">
        <v>243</v>
      </c>
      <c r="D46" s="14"/>
      <c r="E46" s="24" t="n">
        <f aca="false">'1 ข้อมูล'!$C$17+('2 เวียร์'!$D$13/('1 ข้อมูล'!$C$59*'3 ขนาดบ่อ'!$E$13))^(2/3)</f>
        <v>0.0666149917231983</v>
      </c>
      <c r="F46" s="6" t="s">
        <v>19</v>
      </c>
      <c r="G46" s="6" t="s">
        <v>244</v>
      </c>
    </row>
    <row r="47" customFormat="false" ht="15" hidden="false" customHeight="false" outlineLevel="0" collapsed="false">
      <c r="B47" s="6" t="s">
        <v>245</v>
      </c>
      <c r="C47" s="6" t="s">
        <v>246</v>
      </c>
      <c r="D47" s="14" t="n">
        <f aca="false">'3 ขนาดบ่อ'!$E$32+'1 ข้อมูล'!$C$16-'1 ข้อมูล'!$C$17</f>
        <v>0.889665688762588</v>
      </c>
      <c r="E47" s="24" t="n">
        <f aca="false">CEILING(ROUND(D47,4),'1 ข้อมูล'!$C$13)</f>
        <v>0.9</v>
      </c>
      <c r="F47" s="6" t="s">
        <v>19</v>
      </c>
      <c r="G47" s="6" t="s">
        <v>26</v>
      </c>
    </row>
    <row r="48" customFormat="false" ht="15" hidden="false" customHeight="false" outlineLevel="0" collapsed="false">
      <c r="B48" s="6" t="s">
        <v>247</v>
      </c>
      <c r="C48" s="6" t="s">
        <v>248</v>
      </c>
      <c r="D48" s="14" t="n">
        <f aca="false">10*'3 ขนาดบ่อ'!$E$46</f>
        <v>0.666149917231983</v>
      </c>
      <c r="E48" s="24" t="n">
        <f aca="false">CEILING(ROUND(D48,4),'1 ข้อมูล'!$C$13)</f>
        <v>0.7</v>
      </c>
      <c r="F48" s="6" t="s">
        <v>19</v>
      </c>
      <c r="G48" s="6" t="s">
        <v>249</v>
      </c>
    </row>
    <row r="49" customFormat="false" ht="15" hidden="false" customHeight="false" outlineLevel="0" collapsed="false">
      <c r="B49" s="6" t="s">
        <v>250</v>
      </c>
      <c r="C49" s="6" t="s">
        <v>251</v>
      </c>
      <c r="D49" s="14"/>
      <c r="E49" s="24" t="n">
        <f aca="false">'1 ข้อมูล'!$C$18</f>
        <v>1</v>
      </c>
      <c r="F49" s="6" t="s">
        <v>19</v>
      </c>
      <c r="G49" s="6"/>
    </row>
    <row r="50" customFormat="false" ht="15" hidden="false" customHeight="false" outlineLevel="0" collapsed="false">
      <c r="B50" s="6" t="s">
        <v>252</v>
      </c>
      <c r="C50" s="6"/>
      <c r="D50" s="14" t="n">
        <f aca="false">'3 ขนาดบ่อ'!$E$49-'3 ขนาดบ่อ'!$E$48</f>
        <v>0.3</v>
      </c>
      <c r="E50" s="18" t="str">
        <f aca="false">IF(D50&gt;=0,"ผ่าน ✔","ไม่ผ่าน ✘")</f>
        <v>ผ่าน ✔</v>
      </c>
      <c r="F50" s="6"/>
      <c r="G50" s="6"/>
    </row>
    <row r="52" customFormat="false" ht="15" hidden="false" customHeight="false" outlineLevel="0" collapsed="false">
      <c r="B52" s="4" t="s">
        <v>253</v>
      </c>
      <c r="C52" s="5"/>
      <c r="D52" s="5"/>
      <c r="E52" s="5"/>
      <c r="F52" s="5"/>
      <c r="G52" s="5"/>
    </row>
    <row r="53" customFormat="false" ht="15" hidden="false" customHeight="false" outlineLevel="0" collapsed="false">
      <c r="B53" s="6" t="s">
        <v>254</v>
      </c>
      <c r="C53" s="6" t="s">
        <v>255</v>
      </c>
      <c r="D53" s="14" t="n">
        <f aca="false">MAX(0.3,'2 เวียร์'!$D$13/('1 ข้อมูล'!$C$30*'1 ข้อมูล'!$C$21))</f>
        <v>0.3</v>
      </c>
      <c r="E53" s="24" t="n">
        <f aca="false">CEILING(ROUND(D53,4),'1 ข้อมูล'!$C$13)</f>
        <v>0.3</v>
      </c>
      <c r="F53" s="6" t="s">
        <v>19</v>
      </c>
      <c r="G53" s="6" t="s">
        <v>256</v>
      </c>
    </row>
    <row r="54" customFormat="false" ht="15" hidden="false" customHeight="false" outlineLevel="0" collapsed="false">
      <c r="B54" s="6" t="s">
        <v>257</v>
      </c>
      <c r="C54" s="6" t="s">
        <v>258</v>
      </c>
      <c r="D54" s="14" t="n">
        <f aca="false">'1 ข้อมูล'!$C$22+2*'1 ข้อมูล'!$C$23</f>
        <v>0.468</v>
      </c>
      <c r="E54" s="24" t="n">
        <f aca="false">CEILING(ROUND(D54,4),'1 ข้อมูล'!$C$13)</f>
        <v>0.5</v>
      </c>
      <c r="F54" s="6" t="s">
        <v>19</v>
      </c>
      <c r="G54" s="6"/>
    </row>
    <row r="55" customFormat="false" ht="15" hidden="false" customHeight="false" outlineLevel="0" collapsed="false">
      <c r="B55" s="6" t="s">
        <v>259</v>
      </c>
      <c r="C55" s="6" t="s">
        <v>260</v>
      </c>
      <c r="D55" s="14"/>
      <c r="E55" s="24" t="n">
        <f aca="false">'1 ข้อมูล'!$C$24</f>
        <v>0.1</v>
      </c>
      <c r="F55" s="6" t="s">
        <v>19</v>
      </c>
      <c r="G55" s="6"/>
    </row>
    <row r="56" customFormat="false" ht="15" hidden="false" customHeight="false" outlineLevel="0" collapsed="false">
      <c r="B56" s="6" t="s">
        <v>261</v>
      </c>
      <c r="C56" s="6" t="s">
        <v>262</v>
      </c>
      <c r="D56" s="14" t="n">
        <f aca="false">'1 ข้อมูล'!$C$25+2*'1 ข้อมูล'!$C$26</f>
        <v>1</v>
      </c>
      <c r="E56" s="24" t="n">
        <f aca="false">CEILING(ROUND(D56,4),'1 ข้อมูล'!$C$13)</f>
        <v>1</v>
      </c>
      <c r="F56" s="6" t="s">
        <v>19</v>
      </c>
      <c r="G56" s="6"/>
    </row>
    <row r="57" customFormat="false" ht="15" hidden="false" customHeight="false" outlineLevel="0" collapsed="false">
      <c r="B57" s="6" t="s">
        <v>263</v>
      </c>
      <c r="C57" s="6" t="s">
        <v>264</v>
      </c>
      <c r="D57" s="14"/>
      <c r="E57" s="24" t="n">
        <f aca="false">'3 ขนาดบ่อ'!$E$54+'3 ขนาดบ่อ'!$E$55+'3 ขนาดบ่อ'!$E$56</f>
        <v>1.6</v>
      </c>
      <c r="F57" s="6" t="s">
        <v>19</v>
      </c>
      <c r="G57" s="6"/>
    </row>
    <row r="58" customFormat="false" ht="15" hidden="false" customHeight="false" outlineLevel="0" collapsed="false">
      <c r="B58" s="6" t="s">
        <v>265</v>
      </c>
      <c r="C58" s="6" t="s">
        <v>266</v>
      </c>
      <c r="D58" s="14"/>
      <c r="E58" s="24" t="n">
        <f aca="false">'1 ข้อมูล'!$C$17+(('1 ข้อมูล'!$C$10-'1 ข้อมูล'!$C$9)/3600/('1 ข้อมูล'!$C$59*'3 ขนาดบ่อ'!$E$13))^(2/3)</f>
        <v>0.0504487307291521</v>
      </c>
      <c r="F58" s="6" t="s">
        <v>19</v>
      </c>
      <c r="G58" s="6" t="s">
        <v>267</v>
      </c>
    </row>
    <row r="59" customFormat="false" ht="15" hidden="false" customHeight="false" outlineLevel="0" collapsed="false">
      <c r="B59" s="6" t="s">
        <v>268</v>
      </c>
      <c r="C59" s="6" t="s">
        <v>269</v>
      </c>
      <c r="D59" s="14"/>
      <c r="E59" s="24" t="n">
        <f aca="false">'3 ขนาดบ่อ'!$E$47+'3 ขนาดบ่อ'!$E$58+1.5*(('1 ข้อมูล'!$C$10-'1 ข้อมูล'!$C$9)/3600/('3 ขนาดบ่อ'!$E$13*'3 ขนาดบ่อ'!$E$58))^2/(2*'1 ข้อมูล'!$C$54)</f>
        <v>0.953319742642753</v>
      </c>
      <c r="F59" s="6" t="s">
        <v>19</v>
      </c>
      <c r="G59" s="6"/>
    </row>
    <row r="60" customFormat="false" ht="15" hidden="false" customHeight="false" outlineLevel="0" collapsed="false">
      <c r="B60" s="6" t="s">
        <v>270</v>
      </c>
      <c r="C60" s="6" t="s">
        <v>271</v>
      </c>
      <c r="D60" s="14"/>
      <c r="E60" s="24" t="n">
        <f aca="false">'1 ข้อมูล'!$C$10*'1 ข้อมูล'!$C$28/60+'1 ข้อมูล'!$C$31</f>
        <v>15.7879166666667</v>
      </c>
      <c r="F60" s="6" t="s">
        <v>58</v>
      </c>
      <c r="G60" s="6"/>
    </row>
    <row r="61" customFormat="false" ht="15" hidden="false" customHeight="false" outlineLevel="0" collapsed="false">
      <c r="B61" s="6" t="s">
        <v>272</v>
      </c>
      <c r="C61" s="6" t="s">
        <v>273</v>
      </c>
      <c r="D61" s="14" t="n">
        <f aca="false">'3 ขนาดบ่อ'!$E$60/('1 ข้อมูล'!$C$30*('3 ขนาดบ่อ'!$E$59-'1 ข้อมูล'!$C$29))</f>
        <v>3.23304297233106</v>
      </c>
      <c r="E61" s="24" t="n">
        <f aca="false">CEILING(ROUND(D61,4),'1 ข้อมูล'!$C$13)</f>
        <v>3.25</v>
      </c>
      <c r="F61" s="6" t="s">
        <v>19</v>
      </c>
      <c r="G61" s="6"/>
    </row>
    <row r="62" customFormat="false" ht="15" hidden="false" customHeight="false" outlineLevel="0" collapsed="false">
      <c r="B62" s="6" t="s">
        <v>274</v>
      </c>
      <c r="C62" s="6" t="s">
        <v>275</v>
      </c>
      <c r="D62" s="14"/>
      <c r="E62" s="24" t="n">
        <f aca="false">MAX('3 ขนาดบ่อ'!$E$57,'3 ขนาดบ่อ'!$E$61)</f>
        <v>3.25</v>
      </c>
      <c r="F62" s="6" t="s">
        <v>19</v>
      </c>
      <c r="G62" s="6" t="s">
        <v>276</v>
      </c>
    </row>
    <row r="63" customFormat="false" ht="15" hidden="false" customHeight="false" outlineLevel="0" collapsed="false">
      <c r="B63" s="6" t="s">
        <v>277</v>
      </c>
      <c r="C63" s="6" t="s">
        <v>278</v>
      </c>
      <c r="D63" s="9"/>
      <c r="E63" s="20" t="n">
        <f aca="false">('3 ขนาดบ่อ'!$E$62*'1 ข้อมูล'!$C$30*('3 ขนาดบ่อ'!$E$59-'1 ข้อมูล'!$C$29)-'1 ข้อมูล'!$C$31)/'1 ข้อมูล'!$C$10*60</f>
        <v>15.079124743809</v>
      </c>
      <c r="F63" s="6" t="s">
        <v>51</v>
      </c>
      <c r="G63" s="6"/>
    </row>
    <row r="64" customFormat="false" ht="15" hidden="false" customHeight="false" outlineLevel="0" collapsed="false">
      <c r="B64" s="6" t="s">
        <v>279</v>
      </c>
      <c r="C64" s="6"/>
      <c r="D64" s="14" t="n">
        <f aca="false">'3 ขนาดบ่อ'!$E$63</f>
        <v>15.079124743809</v>
      </c>
      <c r="E64" s="18" t="str">
        <f aca="false">IF(D64&gt;='1 ข้อมูล'!$C$28,"ผ่าน ✔","ไม่ผ่าน ✘")</f>
        <v>ผ่าน ✔</v>
      </c>
      <c r="F64" s="6"/>
      <c r="G64" s="6"/>
    </row>
    <row r="65" customFormat="false" ht="15" hidden="false" customHeight="false" outlineLevel="0" collapsed="false">
      <c r="B65" s="6" t="s">
        <v>280</v>
      </c>
      <c r="C65" s="6"/>
      <c r="D65" s="9"/>
      <c r="E65" s="20" t="n">
        <f aca="false">('3 ขนาดบ่อ'!$E$62*'1 ข้อมูล'!$C$30*('3 ขนาดบ่อ'!$E$59-'1 ข้อมูล'!$C$29)-'1 ข้อมูล'!$C$31)/'1 ข้อมูล'!$C$8*60</f>
        <v>9.46843374538342</v>
      </c>
      <c r="F65" s="6" t="s">
        <v>51</v>
      </c>
      <c r="G65" s="6" t="s">
        <v>281</v>
      </c>
    </row>
    <row r="66" customFormat="false" ht="15" hidden="false" customHeight="false" outlineLevel="0" collapsed="false">
      <c r="B66" s="6" t="s">
        <v>282</v>
      </c>
      <c r="C66" s="6" t="s">
        <v>283</v>
      </c>
      <c r="D66" s="14"/>
      <c r="E66" s="24" t="n">
        <f aca="false">'2 เวียร์'!$D$13/('3 ขนาดบ่อ'!$E$13*'3 ขนาดบ่อ'!$E$46)</f>
        <v>0.277993257065429</v>
      </c>
      <c r="F66" s="6" t="s">
        <v>36</v>
      </c>
      <c r="G66" s="6"/>
    </row>
    <row r="67" customFormat="false" ht="15" hidden="false" customHeight="false" outlineLevel="0" collapsed="false">
      <c r="B67" s="6" t="s">
        <v>284</v>
      </c>
      <c r="C67" s="6" t="s">
        <v>269</v>
      </c>
      <c r="D67" s="14"/>
      <c r="E67" s="24" t="n">
        <f aca="false">'3 ขนาดบ่อ'!$E$47+'3 ขนาดบ่อ'!$E$46+1.5*'3 ขนาดบ่อ'!$E$66^2/(2*'1 ข้อมูล'!$C$54)</f>
        <v>0.972523267791535</v>
      </c>
      <c r="F67" s="6" t="s">
        <v>19</v>
      </c>
      <c r="G67" s="6" t="s">
        <v>285</v>
      </c>
    </row>
    <row r="69" customFormat="false" ht="15" hidden="false" customHeight="false" outlineLevel="0" collapsed="false">
      <c r="B69" s="4" t="s">
        <v>286</v>
      </c>
      <c r="C69" s="5"/>
      <c r="D69" s="5"/>
      <c r="E69" s="5"/>
      <c r="F69" s="5"/>
      <c r="G69" s="5"/>
    </row>
    <row r="70" customFormat="false" ht="15" hidden="false" customHeight="false" outlineLevel="0" collapsed="false">
      <c r="B70" s="6" t="s">
        <v>287</v>
      </c>
      <c r="C70" s="6" t="s">
        <v>288</v>
      </c>
      <c r="D70" s="14" t="n">
        <f aca="false">'3 ขนาดบ่อ'!$E$67+'1 ข้อมูล'!$C$20</f>
        <v>1.17252326779154</v>
      </c>
      <c r="E70" s="24" t="n">
        <f aca="false">CEILING(ROUND(D70,4),'1 ข้อมูล'!$C$13)</f>
        <v>1.2</v>
      </c>
      <c r="F70" s="6" t="s">
        <v>19</v>
      </c>
      <c r="G70" s="6" t="s">
        <v>289</v>
      </c>
    </row>
    <row r="72" customFormat="false" ht="15" hidden="false" customHeight="false" outlineLevel="0" collapsed="false">
      <c r="B72" s="4" t="s">
        <v>290</v>
      </c>
      <c r="C72" s="5"/>
      <c r="D72" s="5"/>
      <c r="E72" s="5"/>
      <c r="F72" s="5"/>
      <c r="G72" s="5"/>
    </row>
    <row r="73" customFormat="false" ht="15" hidden="false" customHeight="false" outlineLevel="0" collapsed="false">
      <c r="B73" s="6" t="s">
        <v>291</v>
      </c>
      <c r="C73" s="6" t="s">
        <v>292</v>
      </c>
      <c r="D73" s="14"/>
      <c r="E73" s="24" t="n">
        <f aca="false">'3 ขนาดบ่อ'!$E$8-'1 ข้อมูล'!$C$37</f>
        <v>0.5</v>
      </c>
      <c r="F73" s="6" t="s">
        <v>19</v>
      </c>
      <c r="G73" s="6" t="s">
        <v>293</v>
      </c>
    </row>
    <row r="74" customFormat="false" ht="15" hidden="false" customHeight="false" outlineLevel="0" collapsed="false">
      <c r="B74" s="6" t="s">
        <v>294</v>
      </c>
      <c r="C74" s="6" t="s">
        <v>295</v>
      </c>
      <c r="D74" s="14"/>
      <c r="E74" s="24" t="n">
        <f aca="false">'3 ขนาดบ่อ'!$E$13+2*'1 ข้อมูล'!$C$40</f>
        <v>1.7</v>
      </c>
      <c r="F74" s="6" t="s">
        <v>19</v>
      </c>
      <c r="G74" s="6"/>
    </row>
    <row r="75" customFormat="false" ht="15" hidden="false" customHeight="false" outlineLevel="0" collapsed="false">
      <c r="B75" s="6" t="s">
        <v>296</v>
      </c>
      <c r="C75" s="6" t="s">
        <v>297</v>
      </c>
      <c r="D75" s="14"/>
      <c r="E75" s="24" t="n">
        <f aca="false">'3 ขนาดบ่อ'!$E$73-'1 ข้อมูล'!$C$38</f>
        <v>0.4</v>
      </c>
      <c r="F75" s="6" t="s">
        <v>19</v>
      </c>
      <c r="G75" s="6" t="s">
        <v>298</v>
      </c>
    </row>
    <row r="76" customFormat="false" ht="15" hidden="false" customHeight="false" outlineLevel="0" collapsed="false">
      <c r="B76" s="6" t="s">
        <v>299</v>
      </c>
      <c r="C76" s="6" t="s">
        <v>300</v>
      </c>
      <c r="D76" s="14"/>
      <c r="E76" s="24" t="n">
        <f aca="false">'3 ขนาดบ่อ'!$E$8+'3 ขนาดบ่อ'!$E$9+'1 ข้อมูล'!$C$39</f>
        <v>1</v>
      </c>
      <c r="F76" s="6" t="s">
        <v>19</v>
      </c>
      <c r="G76" s="6"/>
    </row>
    <row r="77" customFormat="false" ht="15" hidden="false" customHeight="false" outlineLevel="0" collapsed="false">
      <c r="B77" s="6" t="s">
        <v>301</v>
      </c>
      <c r="C77" s="6" t="s">
        <v>302</v>
      </c>
      <c r="D77" s="14"/>
      <c r="E77" s="24" t="n">
        <f aca="false">'3 ขนาดบ่อ'!$E$76-'3 ขนาดบ่อ'!$E$75</f>
        <v>0.6</v>
      </c>
      <c r="F77" s="6" t="s">
        <v>19</v>
      </c>
      <c r="G77" s="6"/>
    </row>
    <row r="78" customFormat="false" ht="15" hidden="false" customHeight="false" outlineLevel="0" collapsed="false">
      <c r="B78" s="6" t="s">
        <v>303</v>
      </c>
      <c r="C78" s="6" t="s">
        <v>304</v>
      </c>
      <c r="D78" s="14"/>
      <c r="E78" s="24" t="n">
        <f aca="false">'3 ขนาดบ่อ'!$E$32-'3 ขนาดบ่อ'!$E$73</f>
        <v>0.309665688762588</v>
      </c>
      <c r="F78" s="6" t="s">
        <v>19</v>
      </c>
      <c r="G78" s="6"/>
    </row>
    <row r="79" customFormat="false" ht="15" hidden="false" customHeight="false" outlineLevel="0" collapsed="false">
      <c r="B79" s="6" t="s">
        <v>305</v>
      </c>
      <c r="C79" s="6" t="s">
        <v>306</v>
      </c>
      <c r="D79" s="14"/>
      <c r="E79" s="24" t="n">
        <f aca="false">'1 ข้อมูล'!$C$55*'3 ขนาดบ่อ'!$E$78^3/6</f>
        <v>0.0485508704265308</v>
      </c>
      <c r="F79" s="6" t="s">
        <v>307</v>
      </c>
      <c r="G79" s="6" t="s">
        <v>308</v>
      </c>
    </row>
    <row r="80" customFormat="false" ht="15" hidden="false" customHeight="false" outlineLevel="0" collapsed="false">
      <c r="B80" s="6" t="s">
        <v>309</v>
      </c>
      <c r="C80" s="6" t="s">
        <v>310</v>
      </c>
      <c r="D80" s="14"/>
      <c r="E80" s="24" t="n">
        <f aca="false">'3 ขนาดบ่อ'!$E$79/('1 ข้อมูล'!$C$41^2/6)/1000</f>
        <v>8.09181173775513</v>
      </c>
      <c r="F80" s="6" t="s">
        <v>111</v>
      </c>
      <c r="G80" s="6"/>
    </row>
    <row r="81" customFormat="false" ht="15" hidden="false" customHeight="false" outlineLevel="0" collapsed="false">
      <c r="B81" s="6" t="s">
        <v>311</v>
      </c>
      <c r="C81" s="6" t="s">
        <v>312</v>
      </c>
      <c r="D81" s="14" t="n">
        <f aca="false">'3 ขนาดบ่อ'!$E$80</f>
        <v>8.09181173775513</v>
      </c>
      <c r="E81" s="18" t="str">
        <f aca="false">IF(D81&lt;=0.6*'1 ข้อมูล'!$C$61,"ผ่าน ✔","ไม่ผ่าน ✘")</f>
        <v>ผ่าน ✔</v>
      </c>
      <c r="F81" s="6"/>
      <c r="G81" s="6" t="s">
        <v>313</v>
      </c>
    </row>
    <row r="83" customFormat="false" ht="15" hidden="false" customHeight="false" outlineLevel="0" collapsed="false">
      <c r="B83" s="4" t="s">
        <v>314</v>
      </c>
      <c r="C83" s="5"/>
      <c r="D83" s="5"/>
      <c r="E83" s="5"/>
      <c r="F83" s="5"/>
      <c r="G83" s="5"/>
    </row>
    <row r="84" customFormat="false" ht="15" hidden="false" customHeight="false" outlineLevel="0" collapsed="false">
      <c r="B84" s="6" t="s">
        <v>315</v>
      </c>
      <c r="C84" s="6" t="s">
        <v>316</v>
      </c>
      <c r="D84" s="14"/>
      <c r="E84" s="24" t="n">
        <f aca="false">'1 ข้อมูล'!$C$55*'3 ขนาดบ่อ'!$E$70^3/6</f>
        <v>2.82528</v>
      </c>
      <c r="F84" s="6" t="s">
        <v>307</v>
      </c>
      <c r="G84" s="6" t="s">
        <v>317</v>
      </c>
    </row>
    <row r="85" customFormat="false" ht="15" hidden="false" customHeight="false" outlineLevel="0" collapsed="false">
      <c r="B85" s="6" t="s">
        <v>318</v>
      </c>
      <c r="C85" s="6" t="s">
        <v>319</v>
      </c>
      <c r="D85" s="14"/>
      <c r="E85" s="24" t="n">
        <f aca="false">'1 ข้อมูล'!$C$63*'3 ขนาดบ่อ'!$E$84</f>
        <v>4.802976</v>
      </c>
      <c r="F85" s="6" t="s">
        <v>307</v>
      </c>
      <c r="G85" s="6"/>
    </row>
    <row r="86" customFormat="false" ht="15" hidden="false" customHeight="false" outlineLevel="0" collapsed="false">
      <c r="B86" s="6" t="s">
        <v>320</v>
      </c>
      <c r="C86" s="6" t="s">
        <v>321</v>
      </c>
      <c r="D86" s="14"/>
      <c r="E86" s="24" t="n">
        <f aca="false">'1 ข้อมูล'!$C$49-'1 ข้อมูล'!$C$51-0.006</f>
        <v>0.144</v>
      </c>
      <c r="F86" s="6" t="s">
        <v>19</v>
      </c>
      <c r="G86" s="6" t="s">
        <v>322</v>
      </c>
    </row>
    <row r="87" customFormat="false" ht="15" hidden="false" customHeight="false" outlineLevel="0" collapsed="false">
      <c r="B87" s="6" t="s">
        <v>323</v>
      </c>
      <c r="C87" s="6" t="s">
        <v>324</v>
      </c>
      <c r="D87" s="14"/>
      <c r="E87" s="24" t="n">
        <f aca="false">'3 ขนาดบ่อ'!$E$85/(0.9*'1 ข้อมูล'!$C$62*1000*0.9*'3 ขนาดบ่อ'!$E$86)*1000000</f>
        <v>102.944444444444</v>
      </c>
      <c r="F87" s="6" t="s">
        <v>325</v>
      </c>
      <c r="G87" s="6"/>
    </row>
    <row r="88" customFormat="false" ht="15" hidden="false" customHeight="false" outlineLevel="0" collapsed="false">
      <c r="B88" s="6" t="s">
        <v>326</v>
      </c>
      <c r="C88" s="6" t="s">
        <v>327</v>
      </c>
      <c r="D88" s="14"/>
      <c r="E88" s="24" t="n">
        <f aca="false">0.003*1000*'1 ข้อมูล'!$C$49*1000</f>
        <v>600</v>
      </c>
      <c r="F88" s="6" t="s">
        <v>325</v>
      </c>
      <c r="G88" s="6" t="s">
        <v>328</v>
      </c>
    </row>
    <row r="89" customFormat="false" ht="15" hidden="false" customHeight="false" outlineLevel="0" collapsed="false">
      <c r="B89" s="6" t="s">
        <v>329</v>
      </c>
      <c r="C89" s="6" t="s">
        <v>330</v>
      </c>
      <c r="D89" s="14"/>
      <c r="E89" s="24" t="n">
        <f aca="false">FLOOR(113/MAX('3 ขนาดบ่อ'!$E$87,'3 ขนาดบ่อ'!$E$88)*1000,25)</f>
        <v>175</v>
      </c>
      <c r="F89" s="6" t="s">
        <v>331</v>
      </c>
      <c r="G89" s="6"/>
    </row>
    <row r="90" customFormat="false" ht="15" hidden="false" customHeight="false" outlineLevel="0" collapsed="false">
      <c r="B90" s="6" t="s">
        <v>332</v>
      </c>
      <c r="C90" s="6"/>
      <c r="D90" s="14" t="n">
        <f aca="false">'3 ขนาดบ่อ'!$E$89</f>
        <v>175</v>
      </c>
      <c r="E90" s="18" t="str">
        <f aca="false">IF(D90&gt;=100,"ผ่าน ✔","ไม่ผ่าน ✘")</f>
        <v>ผ่าน ✔</v>
      </c>
      <c r="F90" s="6"/>
      <c r="G90" s="6" t="s">
        <v>333</v>
      </c>
    </row>
    <row r="91" customFormat="false" ht="15" hidden="false" customHeight="false" outlineLevel="0" collapsed="false">
      <c r="B91" s="6" t="s">
        <v>334</v>
      </c>
      <c r="C91" s="6" t="s">
        <v>335</v>
      </c>
      <c r="D91" s="14"/>
      <c r="E91" s="24" t="n">
        <f aca="false">'3 ขนาดบ่อ'!$E$70-'1 ข้อมูล'!$C$29</f>
        <v>2.2</v>
      </c>
      <c r="F91" s="6" t="s">
        <v>19</v>
      </c>
      <c r="G91" s="6"/>
    </row>
    <row r="92" customFormat="false" ht="15" hidden="false" customHeight="false" outlineLevel="0" collapsed="false">
      <c r="B92" s="6" t="s">
        <v>336</v>
      </c>
      <c r="C92" s="6" t="s">
        <v>337</v>
      </c>
      <c r="D92" s="14"/>
      <c r="E92" s="24" t="n">
        <f aca="false">'1 ข้อมูล'!$C$63*'1 ข้อมูล'!$C$55*'3 ขนาดบ่อ'!$E$91^3/6</f>
        <v>29.596116</v>
      </c>
      <c r="F92" s="6" t="s">
        <v>307</v>
      </c>
      <c r="G92" s="6"/>
    </row>
    <row r="93" customFormat="false" ht="15" hidden="false" customHeight="false" outlineLevel="0" collapsed="false">
      <c r="B93" s="6" t="s">
        <v>338</v>
      </c>
      <c r="C93" s="6" t="s">
        <v>324</v>
      </c>
      <c r="D93" s="14"/>
      <c r="E93" s="24" t="n">
        <f aca="false">'3 ขนาดบ่อ'!$E$92/(0.9*'1 ข้อมูล'!$C$62*1000*0.9*'3 ขนาดบ่อ'!$E$86)*1000000</f>
        <v>634.347479423868</v>
      </c>
      <c r="F93" s="6" t="s">
        <v>325</v>
      </c>
      <c r="G93" s="6"/>
    </row>
    <row r="94" customFormat="false" ht="15" hidden="false" customHeight="false" outlineLevel="0" collapsed="false">
      <c r="B94" s="6" t="s">
        <v>339</v>
      </c>
      <c r="C94" s="6"/>
      <c r="D94" s="14"/>
      <c r="E94" s="24" t="n">
        <f aca="false">FLOOR(113/MAX('3 ขนาดบ่อ'!$E$93,'3 ขนาดบ่อ'!$E$88)*1000,25)</f>
        <v>175</v>
      </c>
      <c r="F94" s="6" t="s">
        <v>331</v>
      </c>
      <c r="G94" s="6" t="s">
        <v>340</v>
      </c>
    </row>
    <row r="95" customFormat="false" ht="15" hidden="false" customHeight="false" outlineLevel="0" collapsed="false">
      <c r="B95" s="6" t="s">
        <v>341</v>
      </c>
      <c r="C95" s="6"/>
      <c r="D95" s="14" t="n">
        <f aca="false">'3 ขนาดบ่อ'!$E$94</f>
        <v>175</v>
      </c>
      <c r="E95" s="18" t="str">
        <f aca="false">IF(D95&gt;=100,"ผ่าน ✔","ไม่ผ่าน ✘")</f>
        <v>ผ่าน ✔</v>
      </c>
      <c r="F95" s="6"/>
      <c r="G95" s="6" t="s">
        <v>342</v>
      </c>
    </row>
    <row r="97" customFormat="false" ht="15" hidden="false" customHeight="false" outlineLevel="0" collapsed="false">
      <c r="B97" s="4" t="s">
        <v>343</v>
      </c>
      <c r="C97" s="5"/>
      <c r="D97" s="5"/>
      <c r="E97" s="5"/>
      <c r="F97" s="5"/>
      <c r="G97" s="5"/>
    </row>
    <row r="98" customFormat="false" ht="15" hidden="false" customHeight="false" outlineLevel="0" collapsed="false">
      <c r="B98" s="6" t="s">
        <v>344</v>
      </c>
      <c r="C98" s="6" t="s">
        <v>345</v>
      </c>
      <c r="D98" s="14"/>
      <c r="E98" s="24" t="n">
        <f aca="false">ROUND(('1 ข้อมูล'!$C$45+'3 ขนาดบ่อ'!$E$8-'1 ข้อมูล'!$C$44)/2/0.05,0)*0.05</f>
        <v>0.3</v>
      </c>
      <c r="F98" s="6" t="s">
        <v>19</v>
      </c>
      <c r="G98" s="6" t="s">
        <v>346</v>
      </c>
    </row>
    <row r="99" customFormat="false" ht="26.85" hidden="false" customHeight="false" outlineLevel="0" collapsed="false">
      <c r="B99" s="6" t="s">
        <v>347</v>
      </c>
      <c r="C99" s="6" t="s">
        <v>348</v>
      </c>
      <c r="D99" s="14" t="n">
        <f aca="false">'3 ขนาดบ่อ'!$E$8-'3 ขนาดบ่อ'!$E$98</f>
        <v>0.3</v>
      </c>
      <c r="E99" s="18" t="str">
        <f aca="false">IF(D99&gt;='1 ข้อมูล'!$C$44-0.0001,"ผ่าน ✔","ไม่ผ่าน ✘")</f>
        <v>ผ่าน ✔</v>
      </c>
      <c r="F99" s="6"/>
      <c r="G99" s="6" t="s">
        <v>349</v>
      </c>
    </row>
    <row r="100" customFormat="false" ht="15" hidden="false" customHeight="false" outlineLevel="0" collapsed="false">
      <c r="B100" s="6" t="s">
        <v>350</v>
      </c>
      <c r="C100" s="6" t="s">
        <v>351</v>
      </c>
      <c r="D100" s="14" t="n">
        <f aca="false">'3 ขนาดบ่อ'!$E$98</f>
        <v>0.3</v>
      </c>
      <c r="E100" s="18" t="str">
        <f aca="false">IF(D100&gt;='1 ข้อมูล'!$C$45-0.0001,"ผ่าน ✔","ไม่ผ่าน ✘")</f>
        <v>ผ่าน ✔</v>
      </c>
      <c r="F100" s="6"/>
      <c r="G100" s="6"/>
    </row>
    <row r="101" customFormat="false" ht="15" hidden="false" customHeight="false" outlineLevel="0" collapsed="false">
      <c r="B101" s="6" t="s">
        <v>352</v>
      </c>
      <c r="C101" s="6" t="s">
        <v>353</v>
      </c>
      <c r="D101" s="14"/>
      <c r="E101" s="24" t="n">
        <f aca="false">'3 ขนาดบ่อ'!$E$14-'1 ข้อมูล'!$C$42</f>
        <v>1.8</v>
      </c>
      <c r="F101" s="6" t="s">
        <v>19</v>
      </c>
      <c r="G101" s="6"/>
    </row>
    <row r="102" customFormat="false" ht="15" hidden="false" customHeight="false" outlineLevel="0" collapsed="false">
      <c r="B102" s="6" t="s">
        <v>354</v>
      </c>
      <c r="C102" s="6" t="s">
        <v>355</v>
      </c>
      <c r="D102" s="14" t="n">
        <f aca="false">'3 ขนาดบ่อ'!$E$101-'3 ขนาดบ่อ'!$E$15</f>
        <v>0.85</v>
      </c>
      <c r="E102" s="18" t="str">
        <f aca="false">IF(D102&gt;=0.5,"ผ่าน ✔","ไม่ผ่าน ✘")</f>
        <v>ผ่าน ✔</v>
      </c>
      <c r="F102" s="6"/>
      <c r="G102" s="6" t="s">
        <v>356</v>
      </c>
    </row>
    <row r="103" customFormat="false" ht="26.85" hidden="false" customHeight="false" outlineLevel="0" collapsed="false">
      <c r="B103" s="6" t="s">
        <v>357</v>
      </c>
      <c r="C103" s="6" t="s">
        <v>358</v>
      </c>
      <c r="D103" s="14"/>
      <c r="E103" s="24" t="n">
        <f aca="false">'1 ข้อมูล'!$C$46-'3 ขนาดบ่อ'!$E$32</f>
        <v>0.290334311237412</v>
      </c>
      <c r="F103" s="6" t="s">
        <v>19</v>
      </c>
      <c r="G103" s="6"/>
    </row>
    <row r="104" customFormat="false" ht="26.85" hidden="false" customHeight="false" outlineLevel="0" collapsed="false">
      <c r="B104" s="6" t="s">
        <v>359</v>
      </c>
      <c r="C104" s="6" t="s">
        <v>360</v>
      </c>
      <c r="D104" s="14"/>
      <c r="E104" s="24" t="n">
        <f aca="false">'1 ข้อมูล'!$C$46-'3 ขนาดบ่อ'!$E$8</f>
        <v>0.5</v>
      </c>
      <c r="F104" s="6" t="s">
        <v>19</v>
      </c>
      <c r="G104" s="6"/>
    </row>
    <row r="105" customFormat="false" ht="15" hidden="false" customHeight="false" outlineLevel="0" collapsed="false">
      <c r="B105" s="6" t="s">
        <v>361</v>
      </c>
      <c r="C105" s="6" t="s">
        <v>362</v>
      </c>
      <c r="D105" s="14" t="n">
        <f aca="false">'3 ขนาดบ่อ'!$E$103</f>
        <v>0.290334311237412</v>
      </c>
      <c r="E105" s="18" t="str">
        <f aca="false">IF(AND(D105&gt;='1 ข้อมูล'!$C$47,'3 ขนาดบ่อ'!$E$104&lt;='1 ข้อมูล'!$C$48),"ผ่าน ✔","ไม่ผ่าน ✘")</f>
        <v>ผ่าน ✔</v>
      </c>
      <c r="F105" s="6"/>
      <c r="G105" s="6"/>
    </row>
    <row r="106" customFormat="false" ht="15" hidden="false" customHeight="false" outlineLevel="0" collapsed="false">
      <c r="B106" s="6" t="s">
        <v>363</v>
      </c>
      <c r="C106" s="6"/>
      <c r="D106" s="14" t="n">
        <f aca="false">'3 ขนาดบ่อ'!$E$70-'1 ข้อมูล'!$C$46</f>
        <v>0.1</v>
      </c>
      <c r="E106" s="18" t="str">
        <f aca="false">IF(D106&gt;=0,"ผ่าน ✔","ไม่ผ่าน ✘")</f>
        <v>ผ่าน ✔</v>
      </c>
      <c r="F106" s="6"/>
      <c r="G106" s="6" t="s">
        <v>364</v>
      </c>
    </row>
    <row r="108" customFormat="false" ht="15" hidden="false" customHeight="false" outlineLevel="0" collapsed="false">
      <c r="B108" s="4" t="s">
        <v>365</v>
      </c>
      <c r="C108" s="5"/>
      <c r="D108" s="5"/>
      <c r="E108" s="5"/>
      <c r="F108" s="5"/>
      <c r="G108" s="5"/>
    </row>
    <row r="109" customFormat="false" ht="26.85" hidden="false" customHeight="false" outlineLevel="0" collapsed="false">
      <c r="B109" s="6" t="s">
        <v>366</v>
      </c>
      <c r="C109" s="6" t="s">
        <v>367</v>
      </c>
      <c r="D109" s="14"/>
      <c r="E109" s="24" t="n">
        <f aca="false">'3 ขนาดบ่อ'!$E$39+'3 ขนาดบ่อ'!$E$37+2*'1 ข้อมูล'!$C$32+'3 ขนาดบ่อ'!$E$14+'1 ข้อมูล'!$C$49+'3 ขนาดบ่อ'!$E$29</f>
        <v>3.95</v>
      </c>
      <c r="F109" s="6" t="s">
        <v>19</v>
      </c>
      <c r="G109" s="6"/>
    </row>
    <row r="110" customFormat="false" ht="15" hidden="false" customHeight="false" outlineLevel="0" collapsed="false">
      <c r="B110" s="6" t="s">
        <v>368</v>
      </c>
      <c r="C110" s="6" t="s">
        <v>369</v>
      </c>
      <c r="D110" s="14"/>
      <c r="E110" s="24" t="n">
        <f aca="false">'3 ขนาดบ่อ'!$E$62+'3 ขนาดบ่อ'!$E$49+'3 ขนาดบ่อ'!$E$109</f>
        <v>8.2</v>
      </c>
      <c r="F110" s="6" t="s">
        <v>19</v>
      </c>
      <c r="G110" s="6"/>
    </row>
    <row r="111" customFormat="false" ht="15" hidden="false" customHeight="false" outlineLevel="0" collapsed="false">
      <c r="B111" s="6" t="s">
        <v>370</v>
      </c>
      <c r="C111" s="6" t="s">
        <v>371</v>
      </c>
      <c r="D111" s="14"/>
      <c r="E111" s="24" t="n">
        <f aca="false">'3 ขนาดบ่อ'!$E$13</f>
        <v>1.5</v>
      </c>
      <c r="F111" s="6" t="s">
        <v>19</v>
      </c>
      <c r="G111" s="6"/>
    </row>
    <row r="112" customFormat="false" ht="15" hidden="false" customHeight="false" outlineLevel="0" collapsed="false">
      <c r="B112" s="6" t="s">
        <v>372</v>
      </c>
      <c r="C112" s="6"/>
      <c r="D112" s="14"/>
      <c r="E112" s="24" t="n">
        <f aca="false">'1 ข้อมูล'!$C$30</f>
        <v>2.5</v>
      </c>
      <c r="F112" s="6" t="s">
        <v>19</v>
      </c>
      <c r="G112" s="6"/>
    </row>
    <row r="113" customFormat="false" ht="15" hidden="false" customHeight="false" outlineLevel="0" collapsed="false">
      <c r="B113" s="6" t="s">
        <v>373</v>
      </c>
      <c r="C113" s="6" t="s">
        <v>374</v>
      </c>
      <c r="D113" s="14"/>
      <c r="E113" s="24" t="n">
        <f aca="false">'3 ขนาดบ่อ'!$E$70</f>
        <v>1.2</v>
      </c>
      <c r="F113" s="6" t="s">
        <v>19</v>
      </c>
      <c r="G113" s="6"/>
    </row>
    <row r="114" customFormat="false" ht="15" hidden="false" customHeight="false" outlineLevel="0" collapsed="false">
      <c r="B114" s="6" t="s">
        <v>375</v>
      </c>
      <c r="C114" s="6" t="s">
        <v>376</v>
      </c>
      <c r="D114" s="14"/>
      <c r="E114" s="24" t="n">
        <f aca="false">'3 ขนาดบ่อ'!$E$110+2*'1 ข้อมูล'!$C$49</f>
        <v>8.6</v>
      </c>
      <c r="F114" s="6" t="s">
        <v>19</v>
      </c>
      <c r="G114" s="6"/>
    </row>
    <row r="115" customFormat="false" ht="15" hidden="false" customHeight="false" outlineLevel="0" collapsed="false">
      <c r="B115" s="6" t="s">
        <v>377</v>
      </c>
      <c r="C115" s="6" t="s">
        <v>376</v>
      </c>
      <c r="D115" s="14"/>
      <c r="E115" s="24" t="n">
        <f aca="false">'3 ขนาดบ่อ'!$E$111+2*'1 ข้อมูล'!$C$49</f>
        <v>1.9</v>
      </c>
      <c r="F115" s="6" t="s">
        <v>19</v>
      </c>
      <c r="G115" s="6"/>
    </row>
    <row r="116" customFormat="false" ht="15" hidden="false" customHeight="false" outlineLevel="0" collapsed="false">
      <c r="B116" s="6" t="s">
        <v>378</v>
      </c>
      <c r="C116" s="6" t="s">
        <v>376</v>
      </c>
      <c r="D116" s="14"/>
      <c r="E116" s="24" t="n">
        <f aca="false">'1 ข้อมูล'!$C$30+2*'1 ข้อมูล'!$C$49</f>
        <v>2.9</v>
      </c>
      <c r="F116" s="6" t="s">
        <v>19</v>
      </c>
      <c r="G116" s="6"/>
    </row>
    <row r="117" customFormat="false" ht="15" hidden="false" customHeight="false" outlineLevel="0" collapsed="false">
      <c r="B117" s="6" t="s">
        <v>379</v>
      </c>
      <c r="C117" s="6" t="s">
        <v>380</v>
      </c>
      <c r="D117" s="14"/>
      <c r="E117" s="24" t="n">
        <f aca="false">'3 ขนาดบ่อ'!$E$70-'1 ข้อมูล'!$C$29+'1 ข้อมูล'!$C$50</f>
        <v>2.4</v>
      </c>
      <c r="F117" s="6" t="s">
        <v>19</v>
      </c>
      <c r="G117" s="6"/>
    </row>
    <row r="118" customFormat="false" ht="15" hidden="false" customHeight="false" outlineLevel="0" collapsed="false">
      <c r="B118" s="6" t="s">
        <v>381</v>
      </c>
      <c r="C118" s="6" t="s">
        <v>382</v>
      </c>
      <c r="D118" s="14"/>
      <c r="E118" s="24" t="n">
        <f aca="false">'3 ขนาดบ่อ'!$E$113+'1 ข้อมูล'!$C$50</f>
        <v>1.4</v>
      </c>
      <c r="F118" s="6" t="s">
        <v>19</v>
      </c>
      <c r="G11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13"/>
  </cols>
  <sheetData>
    <row r="1" customFormat="false" ht="18.65" hidden="false" customHeight="false" outlineLevel="0" collapsed="false">
      <c r="B1" s="1" t="s">
        <v>383</v>
      </c>
    </row>
    <row r="2" customFormat="false" ht="15" hidden="false" customHeight="false" outlineLevel="0" collapsed="false">
      <c r="B2" s="2" t="s">
        <v>384</v>
      </c>
    </row>
    <row r="4" customFormat="false" ht="57.75" hidden="false" customHeight="true" outlineLevel="0" collapsed="false">
      <c r="B4" s="3" t="s">
        <v>132</v>
      </c>
      <c r="C4" s="3" t="s">
        <v>385</v>
      </c>
      <c r="D4" s="3" t="s">
        <v>386</v>
      </c>
      <c r="E4" s="3" t="s">
        <v>387</v>
      </c>
      <c r="F4" s="3" t="s">
        <v>388</v>
      </c>
      <c r="G4" s="3" t="s">
        <v>389</v>
      </c>
      <c r="H4" s="3" t="s">
        <v>390</v>
      </c>
      <c r="I4" s="3" t="s">
        <v>391</v>
      </c>
    </row>
    <row r="5" customFormat="false" ht="15" hidden="false" customHeight="false" outlineLevel="0" collapsed="false">
      <c r="B5" s="6" t="s">
        <v>139</v>
      </c>
      <c r="C5" s="9" t="n">
        <f aca="false">'1 ข้อมูล'!$C$7-'1 ข้อมูล'!$C$9</f>
        <v>40</v>
      </c>
      <c r="D5" s="15" t="n">
        <f aca="false">C5/3600</f>
        <v>0.0111111111111111</v>
      </c>
      <c r="E5" s="9" t="n">
        <f aca="false">(D5/('1 ข้อมูล'!$C$59*'3 ขนาดบ่อ'!$E$13))^(2/3)*100</f>
        <v>2.53065109461751</v>
      </c>
      <c r="F5" s="20" t="n">
        <f aca="false">'1 ข้อมูล'!$C$17*100+E5</f>
        <v>4.53065109461751</v>
      </c>
      <c r="G5" s="13" t="n">
        <f aca="false">D5/('3 ขนาดบ่อ'!$E$13*F5/100)</f>
        <v>0.163495428200321</v>
      </c>
      <c r="H5" s="13" t="n">
        <f aca="false">G5/SQRT('1 ข้อมูล'!$C$54*F5/100)</f>
        <v>0.24523971352263</v>
      </c>
      <c r="I5" s="18" t="str">
        <f aca="false">IF(H5&lt;0.5,"เรียบ ✔",IF(H5&lt;0.7,"พอใช้","เป็นระลอก ✘"))</f>
        <v>เรียบ ✔</v>
      </c>
    </row>
    <row r="6" customFormat="false" ht="15" hidden="false" customHeight="false" outlineLevel="0" collapsed="false">
      <c r="B6" s="6" t="s">
        <v>140</v>
      </c>
      <c r="C6" s="9" t="n">
        <f aca="false">'1 ข้อมูล'!$C$10-'1 ข้อมูล'!$C$9</f>
        <v>52.7916666666667</v>
      </c>
      <c r="D6" s="15" t="n">
        <f aca="false">C6/3600</f>
        <v>0.0146643518518519</v>
      </c>
      <c r="E6" s="9" t="n">
        <f aca="false">(D6/('1 ข้อมูล'!$C$59*'3 ขนาดบ่อ'!$E$13))^(2/3)*100</f>
        <v>3.04487307291521</v>
      </c>
      <c r="F6" s="20" t="n">
        <f aca="false">'1 ข้อมูล'!$C$17*100+E6</f>
        <v>5.04487307291521</v>
      </c>
      <c r="G6" s="13" t="n">
        <f aca="false">D6/('3 ขนาดบ่อ'!$E$13*F6/100)</f>
        <v>0.193785540817422</v>
      </c>
      <c r="H6" s="13" t="n">
        <f aca="false">G6/SQRT('1 ข้อมูล'!$C$54*F6/100)</f>
        <v>0.275462029969398</v>
      </c>
      <c r="I6" s="18" t="str">
        <f aca="false">IF(H6&lt;0.5,"เรียบ ✔",IF(H6&lt;0.7,"พอใช้","เป็นระลอก ✘"))</f>
        <v>เรียบ ✔</v>
      </c>
    </row>
    <row r="7" customFormat="false" ht="15" hidden="false" customHeight="false" outlineLevel="0" collapsed="false">
      <c r="B7" s="6" t="s">
        <v>142</v>
      </c>
      <c r="C7" s="9" t="n">
        <f aca="false">'1 ข้อมูล'!$C$8-'1 ข้อมูล'!$C$9</f>
        <v>90</v>
      </c>
      <c r="D7" s="15" t="n">
        <f aca="false">C7/3600</f>
        <v>0.025</v>
      </c>
      <c r="E7" s="9" t="n">
        <f aca="false">(D7/('1 ข้อมูล'!$C$59*'3 ขนาดบ่อ'!$E$13))^(2/3)*100</f>
        <v>4.34530852641276</v>
      </c>
      <c r="F7" s="20" t="n">
        <f aca="false">'1 ข้อมูล'!$C$17*100+E7</f>
        <v>6.34530852641276</v>
      </c>
      <c r="G7" s="13" t="n">
        <f aca="false">D7/('3 ขนาดบ่อ'!$E$13*F7/100)</f>
        <v>0.262661249603397</v>
      </c>
      <c r="H7" s="13" t="n">
        <f aca="false">G7/SQRT('1 ข้อมูล'!$C$54*F7/100)</f>
        <v>0.332916354683497</v>
      </c>
      <c r="I7" s="18" t="str">
        <f aca="false">IF(H7&lt;0.5,"เรียบ ✔",IF(H7&lt;0.7,"พอใช้","เป็นระลอก ✘"))</f>
        <v>เรียบ ✔</v>
      </c>
    </row>
    <row r="8" customFormat="false" ht="15" hidden="false" customHeight="false" outlineLevel="0" collapsed="false">
      <c r="B8" s="6" t="s">
        <v>143</v>
      </c>
      <c r="C8" s="9" t="n">
        <f aca="false">'1 ข้อมูล'!$C$8</f>
        <v>100</v>
      </c>
      <c r="D8" s="15" t="n">
        <f aca="false">C8/3600</f>
        <v>0.0277777777777778</v>
      </c>
      <c r="E8" s="9" t="n">
        <f aca="false">(D8/('1 ข้อมูล'!$C$59*'3 ขนาดบ่อ'!$E$13))^(2/3)*100</f>
        <v>4.66149917231983</v>
      </c>
      <c r="F8" s="20" t="n">
        <f aca="false">'1 ข้อมูล'!$C$17*100+E8</f>
        <v>6.66149917231983</v>
      </c>
      <c r="G8" s="13" t="n">
        <f aca="false">D8/('3 ขนาดบ่อ'!$E$13*F8/100)</f>
        <v>0.277993257065429</v>
      </c>
      <c r="H8" s="13" t="n">
        <f aca="false">G8/SQRT('1 ข้อมูล'!$C$54*F8/100)</f>
        <v>0.343885424767124</v>
      </c>
      <c r="I8" s="18" t="str">
        <f aca="false">IF(H8&lt;0.5,"เรียบ ✔",IF(H8&lt;0.7,"พอใช้","เป็นระลอก ✘"))</f>
        <v>เรียบ ✔</v>
      </c>
    </row>
    <row r="10" customFormat="false" ht="15" hidden="false" customHeight="false" outlineLevel="0" collapsed="false">
      <c r="B10" s="23" t="s">
        <v>392</v>
      </c>
    </row>
    <row r="11" customFormat="false" ht="15" hidden="false" customHeight="false" outlineLevel="0" collapsed="false">
      <c r="B11" s="23" t="s">
        <v>393</v>
      </c>
    </row>
    <row r="12" customFormat="false" ht="15" hidden="false" customHeight="false" outlineLevel="0" collapsed="false">
      <c r="B12" s="23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6"/>
  </cols>
  <sheetData>
    <row r="1" customFormat="false" ht="18.65" hidden="false" customHeight="false" outlineLevel="0" collapsed="false">
      <c r="B1" s="1" t="s">
        <v>395</v>
      </c>
    </row>
    <row r="2" customFormat="false" ht="15" hidden="false" customHeight="false" outlineLevel="0" collapsed="false">
      <c r="B2" s="2" t="s">
        <v>396</v>
      </c>
    </row>
    <row r="4" customFormat="false" ht="15" hidden="false" customHeight="false" outlineLevel="0" collapsed="false">
      <c r="B4" s="3" t="s">
        <v>397</v>
      </c>
      <c r="C4" s="3" t="s">
        <v>19</v>
      </c>
      <c r="D4" s="3" t="s">
        <v>398</v>
      </c>
    </row>
    <row r="5" customFormat="false" ht="15" hidden="false" customHeight="false" outlineLevel="0" collapsed="false">
      <c r="B5" s="6" t="s">
        <v>374</v>
      </c>
      <c r="C5" s="25" t="n">
        <f aca="false">'3 ขนาดบ่อ'!$E$70</f>
        <v>1.2</v>
      </c>
      <c r="D5" s="6" t="s">
        <v>288</v>
      </c>
    </row>
    <row r="6" customFormat="false" ht="15" hidden="false" customHeight="false" outlineLevel="0" collapsed="false">
      <c r="B6" s="6" t="s">
        <v>399</v>
      </c>
      <c r="C6" s="25" t="n">
        <f aca="false">'3 ขนาดบ่อ'!$E$67</f>
        <v>0.972523267791535</v>
      </c>
      <c r="D6" s="6" t="s">
        <v>400</v>
      </c>
    </row>
    <row r="7" customFormat="false" ht="15" hidden="false" customHeight="false" outlineLevel="0" collapsed="false">
      <c r="B7" s="6" t="s">
        <v>401</v>
      </c>
      <c r="C7" s="25" t="n">
        <f aca="false">'3 ขนาดบ่อ'!$E$47+'1 ข้อมูล'!$C$17</f>
        <v>0.92</v>
      </c>
      <c r="D7" s="6" t="s">
        <v>402</v>
      </c>
    </row>
    <row r="8" customFormat="false" ht="15" hidden="false" customHeight="false" outlineLevel="0" collapsed="false">
      <c r="B8" s="6" t="s">
        <v>403</v>
      </c>
      <c r="C8" s="25" t="n">
        <f aca="false">'3 ขนาดบ่อ'!$E$47</f>
        <v>0.9</v>
      </c>
      <c r="D8" s="6" t="s">
        <v>246</v>
      </c>
    </row>
    <row r="9" customFormat="false" ht="15" hidden="false" customHeight="false" outlineLevel="0" collapsed="false">
      <c r="B9" s="6" t="s">
        <v>404</v>
      </c>
      <c r="C9" s="25" t="n">
        <f aca="false">'3 ขนาดบ่อ'!$E$76</f>
        <v>1</v>
      </c>
      <c r="D9" s="6" t="s">
        <v>300</v>
      </c>
    </row>
    <row r="10" customFormat="false" ht="15" hidden="false" customHeight="false" outlineLevel="0" collapsed="false">
      <c r="B10" s="6" t="s">
        <v>405</v>
      </c>
      <c r="C10" s="25" t="n">
        <f aca="false">'3 ขนาดบ่อ'!$E$8+'3 ขนาดบ่อ'!$E$9</f>
        <v>0.9</v>
      </c>
      <c r="D10" s="6" t="s">
        <v>406</v>
      </c>
    </row>
    <row r="11" customFormat="false" ht="15" hidden="false" customHeight="false" outlineLevel="0" collapsed="false">
      <c r="B11" s="6" t="s">
        <v>407</v>
      </c>
      <c r="C11" s="25" t="n">
        <f aca="false">'3 ขนาดบ่อ'!$E$32</f>
        <v>0.809665688762588</v>
      </c>
      <c r="D11" s="6" t="s">
        <v>408</v>
      </c>
    </row>
    <row r="12" customFormat="false" ht="15" hidden="false" customHeight="false" outlineLevel="0" collapsed="false">
      <c r="B12" s="6" t="s">
        <v>409</v>
      </c>
      <c r="C12" s="25" t="n">
        <f aca="false">'3 ขนาดบ่อ'!$E$8</f>
        <v>0.6</v>
      </c>
      <c r="D12" s="6" t="s">
        <v>410</v>
      </c>
    </row>
    <row r="13" customFormat="false" ht="15" hidden="false" customHeight="false" outlineLevel="0" collapsed="false">
      <c r="B13" s="6" t="s">
        <v>411</v>
      </c>
      <c r="C13" s="25" t="n">
        <f aca="false">'3 ขนาดบ่อ'!$E$73</f>
        <v>0.5</v>
      </c>
      <c r="D13" s="6" t="s">
        <v>292</v>
      </c>
    </row>
    <row r="14" customFormat="false" ht="15" hidden="false" customHeight="false" outlineLevel="0" collapsed="false">
      <c r="B14" s="6" t="s">
        <v>412</v>
      </c>
      <c r="C14" s="25" t="n">
        <f aca="false">'3 ขนาดบ่อ'!$E$75</f>
        <v>0.4</v>
      </c>
      <c r="D14" s="6" t="s">
        <v>413</v>
      </c>
    </row>
    <row r="15" customFormat="false" ht="15" hidden="false" customHeight="false" outlineLevel="0" collapsed="false">
      <c r="B15" s="6" t="s">
        <v>414</v>
      </c>
      <c r="C15" s="25" t="n">
        <f aca="false">'1 ข้อมูล'!$C$29+'3 ขนาดบ่อ'!$E$53</f>
        <v>-0.7</v>
      </c>
      <c r="D15" s="6" t="s">
        <v>415</v>
      </c>
    </row>
    <row r="16" customFormat="false" ht="15" hidden="false" customHeight="false" outlineLevel="0" collapsed="false">
      <c r="B16" s="6" t="s">
        <v>416</v>
      </c>
      <c r="C16" s="25" t="n">
        <f aca="false">'3 ขนาดบ่อ'!$E$24</f>
        <v>0.210686269183871</v>
      </c>
      <c r="D16" s="6" t="s">
        <v>417</v>
      </c>
    </row>
    <row r="17" customFormat="false" ht="15" hidden="false" customHeight="false" outlineLevel="0" collapsed="false">
      <c r="B17" s="6" t="s">
        <v>418</v>
      </c>
      <c r="C17" s="25" t="n">
        <f aca="false">'1 ข้อมูล'!$C$29+0.6</f>
        <v>-0.4</v>
      </c>
      <c r="D17" s="6" t="s">
        <v>419</v>
      </c>
    </row>
    <row r="18" customFormat="false" ht="15" hidden="false" customHeight="false" outlineLevel="0" collapsed="false">
      <c r="B18" s="6" t="s">
        <v>420</v>
      </c>
      <c r="C18" s="25" t="n">
        <f aca="false">'1 ข้อมูล'!$C$29+0.5</f>
        <v>-0.5</v>
      </c>
      <c r="D18" s="6" t="s">
        <v>421</v>
      </c>
    </row>
    <row r="19" customFormat="false" ht="15" hidden="false" customHeight="false" outlineLevel="0" collapsed="false">
      <c r="B19" s="6" t="s">
        <v>422</v>
      </c>
      <c r="C19" s="25" t="n">
        <f aca="false">0</f>
        <v>0</v>
      </c>
      <c r="D19" s="6"/>
    </row>
    <row r="20" customFormat="false" ht="15" hidden="false" customHeight="false" outlineLevel="0" collapsed="false">
      <c r="B20" s="6" t="s">
        <v>423</v>
      </c>
      <c r="C20" s="25" t="n">
        <f aca="false">'1 ข้อมูล'!$C$29</f>
        <v>-1</v>
      </c>
      <c r="D20" s="6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</cols>
  <sheetData>
    <row r="1" customFormat="false" ht="18.65" hidden="false" customHeight="false" outlineLevel="0" collapsed="false">
      <c r="B1" s="1" t="s">
        <v>425</v>
      </c>
    </row>
    <row r="2" customFormat="false" ht="15" hidden="false" customHeight="false" outlineLevel="0" collapsed="false">
      <c r="B2" s="2" t="s">
        <v>426</v>
      </c>
    </row>
    <row r="4" customFormat="false" ht="45" hidden="false" customHeight="true" outlineLevel="0" collapsed="false">
      <c r="B4" s="3" t="s">
        <v>427</v>
      </c>
      <c r="C4" s="3" t="s">
        <v>428</v>
      </c>
      <c r="D4" s="3" t="s">
        <v>429</v>
      </c>
      <c r="E4" s="3" t="s">
        <v>430</v>
      </c>
      <c r="F4" s="3" t="s">
        <v>431</v>
      </c>
      <c r="G4" s="3" t="s">
        <v>432</v>
      </c>
    </row>
    <row r="5" customFormat="false" ht="15" hidden="false" customHeight="false" outlineLevel="0" collapsed="false">
      <c r="B5" s="16" t="n">
        <v>5</v>
      </c>
      <c r="C5" s="20" t="n">
        <f aca="false">'2 เวียร์'!$C$5*(B5/100)^2.5*3600</f>
        <v>2.77719642805474</v>
      </c>
      <c r="D5" s="9" t="n">
        <f aca="false">'2 เวียร์'!$C$6*(B5/100+'1 ข้อมูล'!$C$58)^2.5*3600</f>
        <v>2.86619650300861</v>
      </c>
      <c r="E5" s="26" t="n">
        <f aca="false">C5/D5-1</f>
        <v>-0.0310516305704971</v>
      </c>
      <c r="F5" s="13" t="n">
        <f aca="false">C5/3.6</f>
        <v>0.771443452237427</v>
      </c>
      <c r="G5" s="27" t="n">
        <f aca="false">C5*24</f>
        <v>66.6527142733137</v>
      </c>
    </row>
    <row r="6" customFormat="false" ht="15" hidden="false" customHeight="false" outlineLevel="0" collapsed="false">
      <c r="B6" s="16" t="n">
        <v>6</v>
      </c>
      <c r="C6" s="20" t="n">
        <f aca="false">'2 เวียร์'!$C$5*(B6/100)^2.5*3600</f>
        <v>4.38086341517286</v>
      </c>
      <c r="D6" s="9" t="n">
        <f aca="false">'2 เวียร์'!$C$6*(B6/100+'1 ข้อมูล'!$C$58)^2.5*3600</f>
        <v>4.48983131905459</v>
      </c>
      <c r="E6" s="26" t="n">
        <f aca="false">C6/D6-1</f>
        <v>-0.0242699326852838</v>
      </c>
      <c r="F6" s="13" t="n">
        <f aca="false">C6/3.6</f>
        <v>1.21690650421468</v>
      </c>
      <c r="G6" s="27" t="n">
        <f aca="false">C6*24</f>
        <v>105.140721964149</v>
      </c>
    </row>
    <row r="7" customFormat="false" ht="15" hidden="false" customHeight="false" outlineLevel="0" collapsed="false">
      <c r="B7" s="16" t="n">
        <v>7</v>
      </c>
      <c r="C7" s="20" t="n">
        <f aca="false">'2 เวียร์'!$C$5*(B7/100)^2.5*3600</f>
        <v>6.44060533155076</v>
      </c>
      <c r="D7" s="9" t="n">
        <f aca="false">'2 เวียร์'!$C$6*(B7/100+'1 ข้อมูล'!$C$58)^2.5*3600</f>
        <v>6.56792530595593</v>
      </c>
      <c r="E7" s="26" t="n">
        <f aca="false">C7/D7-1</f>
        <v>-0.0193851130264402</v>
      </c>
      <c r="F7" s="13" t="n">
        <f aca="false">C7/3.6</f>
        <v>1.78905703654188</v>
      </c>
      <c r="G7" s="27" t="n">
        <f aca="false">C7*24</f>
        <v>154.574527957218</v>
      </c>
    </row>
    <row r="8" customFormat="false" ht="15" hidden="false" customHeight="false" outlineLevel="0" collapsed="false">
      <c r="B8" s="16" t="n">
        <v>8</v>
      </c>
      <c r="C8" s="20" t="n">
        <f aca="false">'2 เวียร์'!$C$5*(B8/100)^2.5*3600</f>
        <v>8.99304061167301</v>
      </c>
      <c r="D8" s="9" t="n">
        <f aca="false">'2 เวียร์'!$C$6*(B8/100+'1 ข้อมูล'!$C$58)^2.5*3600</f>
        <v>9.13647413844802</v>
      </c>
      <c r="E8" s="26" t="n">
        <f aca="false">C8/D8-1</f>
        <v>-0.0156990021097324</v>
      </c>
      <c r="F8" s="13" t="n">
        <f aca="false">C8/3.6</f>
        <v>2.49806683657584</v>
      </c>
      <c r="G8" s="27" t="n">
        <f aca="false">C8*24</f>
        <v>215.832974680152</v>
      </c>
    </row>
    <row r="9" customFormat="false" ht="15" hidden="false" customHeight="false" outlineLevel="0" collapsed="false">
      <c r="B9" s="16" t="n">
        <v>9</v>
      </c>
      <c r="C9" s="20" t="n">
        <f aca="false">'2 เวียร์'!$C$5*(B9/100)^2.5*3600</f>
        <v>12.07224</v>
      </c>
      <c r="D9" s="9" t="n">
        <f aca="false">'2 เวียร์'!$C$6*(B9/100+'1 ข้อมูล'!$C$58)^2.5*3600</f>
        <v>12.2289986697729</v>
      </c>
      <c r="E9" s="26" t="n">
        <f aca="false">C9/D9-1</f>
        <v>-0.0128186022425818</v>
      </c>
      <c r="F9" s="13" t="n">
        <f aca="false">C9/3.6</f>
        <v>3.3534</v>
      </c>
      <c r="G9" s="27" t="n">
        <f aca="false">C9*24</f>
        <v>289.73376</v>
      </c>
    </row>
    <row r="10" customFormat="false" ht="15" hidden="false" customHeight="false" outlineLevel="0" collapsed="false">
      <c r="B10" s="16" t="n">
        <v>10</v>
      </c>
      <c r="C10" s="20" t="n">
        <f aca="false">'2 เวียร์'!$C$5*(B10/100)^2.5*3600</f>
        <v>15.7101954157165</v>
      </c>
      <c r="D10" s="9" t="n">
        <f aca="false">'2 เวียร์'!$C$6*(B10/100+'1 ข้อมูล'!$C$58)^2.5*3600</f>
        <v>15.8769956216084</v>
      </c>
      <c r="E10" s="26" t="n">
        <f aca="false">C10/D10-1</f>
        <v>-0.0105057789185823</v>
      </c>
      <c r="F10" s="13" t="n">
        <f aca="false">C10/3.6</f>
        <v>4.36394317103236</v>
      </c>
      <c r="G10" s="27" t="n">
        <f aca="false">C10*24</f>
        <v>377.044689977196</v>
      </c>
    </row>
    <row r="11" customFormat="false" ht="15" hidden="false" customHeight="false" outlineLevel="0" collapsed="false">
      <c r="B11" s="16" t="n">
        <v>11</v>
      </c>
      <c r="C11" s="20" t="n">
        <f aca="false">'2 เวียร์'!$C$5*(B11/100)^2.5*3600</f>
        <v>19.9371602697676</v>
      </c>
      <c r="D11" s="9" t="n">
        <f aca="false">'2 เวียร์'!$C$6*(B11/100+'1 ข้อมูล'!$C$58)^2.5*3600</f>
        <v>20.1102658699656</v>
      </c>
      <c r="E11" s="26" t="n">
        <f aca="false">C11/D11-1</f>
        <v>-0.00860782255775738</v>
      </c>
      <c r="F11" s="13" t="n">
        <f aca="false">C11/3.6</f>
        <v>5.53810007493545</v>
      </c>
      <c r="G11" s="27" t="n">
        <f aca="false">C11*24</f>
        <v>478.491846474423</v>
      </c>
    </row>
    <row r="12" customFormat="false" ht="15" hidden="false" customHeight="false" outlineLevel="0" collapsed="false">
      <c r="B12" s="16" t="n">
        <v>12</v>
      </c>
      <c r="C12" s="20" t="n">
        <f aca="false">'2 เวียร์'!$C$5*(B12/100)^2.5*3600</f>
        <v>24.7819058265663</v>
      </c>
      <c r="D12" s="9" t="n">
        <f aca="false">'2 เวียร์'!$C$6*(B12/100+'1 ข้อมูล'!$C$58)^2.5*3600</f>
        <v>24.9571624264048</v>
      </c>
      <c r="E12" s="26" t="n">
        <f aca="false">C12/D12-1</f>
        <v>-0.00702229671964116</v>
      </c>
      <c r="F12" s="13" t="n">
        <f aca="false">C12/3.6</f>
        <v>6.88386272960174</v>
      </c>
      <c r="G12" s="27" t="n">
        <f aca="false">C12*24</f>
        <v>594.765739837591</v>
      </c>
    </row>
    <row r="13" customFormat="false" ht="15" hidden="false" customHeight="false" outlineLevel="0" collapsed="false">
      <c r="B13" s="16" t="n">
        <v>13</v>
      </c>
      <c r="C13" s="20" t="n">
        <f aca="false">'2 เวียร์'!$C$5*(B13/100)^2.5*3600</f>
        <v>30.2719200646936</v>
      </c>
      <c r="D13" s="9" t="n">
        <f aca="false">'2 เวียร์'!$C$6*(B13/100+'1 ข้อมูล'!$C$58)^2.5*3600</f>
        <v>30.4447832233961</v>
      </c>
      <c r="E13" s="26" t="n">
        <f aca="false">C13/D13-1</f>
        <v>-0.0056779237820157</v>
      </c>
      <c r="F13" s="13" t="n">
        <f aca="false">C13/3.6</f>
        <v>8.40886668463712</v>
      </c>
      <c r="G13" s="27" t="n">
        <f aca="false">C13*24</f>
        <v>726.526081552647</v>
      </c>
    </row>
    <row r="14" customFormat="false" ht="15" hidden="false" customHeight="false" outlineLevel="0" collapsed="false">
      <c r="B14" s="16" t="n">
        <v>14</v>
      </c>
      <c r="C14" s="20" t="n">
        <f aca="false">'2 เวียร์'!$C$5*(B14/100)^2.5*3600</f>
        <v>36.4335656390862</v>
      </c>
      <c r="D14" s="9" t="n">
        <f aca="false">'2 เวียร์'!$C$6*(B14/100+'1 ข้อมูล'!$C$58)^2.5*3600</f>
        <v>36.599124528368</v>
      </c>
      <c r="E14" s="26" t="n">
        <f aca="false">C14/D14-1</f>
        <v>-0.00452357512413992</v>
      </c>
      <c r="F14" s="13" t="n">
        <f aca="false">C14/3.6</f>
        <v>10.1204348997462</v>
      </c>
      <c r="G14" s="27" t="n">
        <f aca="false">C14*24</f>
        <v>874.405575338068</v>
      </c>
    </row>
    <row r="15" customFormat="false" ht="15" hidden="false" customHeight="false" outlineLevel="0" collapsed="false">
      <c r="B15" s="16" t="n">
        <v>15</v>
      </c>
      <c r="C15" s="20" t="n">
        <f aca="false">'2 เวียร์'!$C$5*(B15/100)^2.5*3600</f>
        <v>43.2922078439065</v>
      </c>
      <c r="D15" s="9" t="n">
        <f aca="false">'2 เวียร์'!$C$6*(B15/100+'1 ข้อมูล'!$C$58)^2.5*3600</f>
        <v>43.4452054104805</v>
      </c>
      <c r="E15" s="26" t="n">
        <f aca="false">C15/D15-1</f>
        <v>-0.00352162143390655</v>
      </c>
      <c r="F15" s="13" t="n">
        <f aca="false">C15/3.6</f>
        <v>12.025613289974</v>
      </c>
      <c r="G15" s="27" t="n">
        <f aca="false">C15*24</f>
        <v>1039.01298825376</v>
      </c>
    </row>
    <row r="16" customFormat="false" ht="15" hidden="false" customHeight="false" outlineLevel="0" collapsed="false">
      <c r="B16" s="16" t="n">
        <v>16</v>
      </c>
      <c r="C16" s="20" t="n">
        <f aca="false">'2 เวียร์'!$C$5*(B16/100)^2.5*3600</f>
        <v>50.87232</v>
      </c>
      <c r="D16" s="9" t="n">
        <f aca="false">'2 เวียร์'!$C$6*(B16/100+'1 ข้อมูล'!$C$58)^2.5*3600</f>
        <v>51.0071703805085</v>
      </c>
      <c r="E16" s="26" t="n">
        <f aca="false">C16/D16-1</f>
        <v>-0.0026437534076581</v>
      </c>
      <c r="F16" s="13" t="n">
        <f aca="false">C16/3.6</f>
        <v>14.1312</v>
      </c>
      <c r="G16" s="27" t="n">
        <f aca="false">C16*24</f>
        <v>1220.93568</v>
      </c>
    </row>
    <row r="17" customFormat="false" ht="15" hidden="false" customHeight="false" outlineLevel="0" collapsed="false">
      <c r="B17" s="16" t="n">
        <v>17</v>
      </c>
      <c r="C17" s="20" t="n">
        <f aca="false">'2 เวียร์'!$C$5*(B17/100)^2.5*3600</f>
        <v>59.1975714819181</v>
      </c>
      <c r="D17" s="9" t="n">
        <f aca="false">'2 เวียร์'!$C$6*(B17/100+'1 ข้อมูล'!$C$58)^2.5*3600</f>
        <v>59.3083752175669</v>
      </c>
      <c r="E17" s="26" t="n">
        <f aca="false">C17/D17-1</f>
        <v>-0.00186826456200051</v>
      </c>
      <c r="F17" s="13" t="n">
        <f aca="false">C17/3.6</f>
        <v>16.4437698560884</v>
      </c>
      <c r="G17" s="27" t="n">
        <f aca="false">C17*24</f>
        <v>1420.74171556603</v>
      </c>
    </row>
    <row r="18" customFormat="false" ht="15" hidden="false" customHeight="false" outlineLevel="0" collapsed="false">
      <c r="B18" s="16" t="n">
        <v>18</v>
      </c>
      <c r="C18" s="20" t="n">
        <f aca="false">'2 เวียร์'!$C$5*(B18/100)^2.5*3600</f>
        <v>68.2909021448919</v>
      </c>
      <c r="D18" s="9" t="n">
        <f aca="false">'2 เวียร์'!$C$6*(B18/100+'1 ข้อมูล'!$C$58)^2.5*3600</f>
        <v>68.3714596053392</v>
      </c>
      <c r="E18" s="26" t="n">
        <f aca="false">C18/D18-1</f>
        <v>-0.00117823227575298</v>
      </c>
      <c r="F18" s="13" t="n">
        <f aca="false">C18/3.6</f>
        <v>18.9696950402477</v>
      </c>
      <c r="G18" s="27" t="n">
        <f aca="false">C18*24</f>
        <v>1638.98165147741</v>
      </c>
    </row>
    <row r="19" customFormat="false" ht="15" hidden="false" customHeight="false" outlineLevel="0" collapsed="false">
      <c r="B19" s="16" t="n">
        <v>19</v>
      </c>
      <c r="C19" s="20" t="n">
        <f aca="false">'2 เวียร์'!$C$5*(B19/100)^2.5*3600</f>
        <v>78.1745859249513</v>
      </c>
      <c r="D19" s="9" t="n">
        <f aca="false">'2 เวียร์'!$C$6*(B19/100+'1 ข้อมูล'!$C$58)^2.5*3600</f>
        <v>78.2184092541632</v>
      </c>
      <c r="E19" s="26" t="n">
        <f aca="false">C19/D19-1</f>
        <v>-0.000560268735067315</v>
      </c>
      <c r="F19" s="13" t="n">
        <f aca="false">C19/3.6</f>
        <v>21.7151627569309</v>
      </c>
      <c r="G19" s="27" t="n">
        <f aca="false">C19*24</f>
        <v>1876.19006219883</v>
      </c>
    </row>
    <row r="20" customFormat="false" ht="15" hidden="false" customHeight="false" outlineLevel="0" collapsed="false">
      <c r="B20" s="16" t="n">
        <v>20</v>
      </c>
      <c r="C20" s="20" t="n">
        <f aca="false">'2 เวียร์'!$C$5*(B20/100)^2.5*3600</f>
        <v>88.8702856977516</v>
      </c>
      <c r="D20" s="9" t="n">
        <f aca="false">'2 เวียร์'!$C$6*(B20/100+'1 ข้อมูล'!$C$58)^2.5*3600</f>
        <v>88.8706095248216</v>
      </c>
      <c r="E20" s="26" t="n">
        <f aca="false">C20/D20-1</f>
        <v>-3.64380385908802E-006</v>
      </c>
      <c r="F20" s="13" t="n">
        <f aca="false">C20/3.6</f>
        <v>24.6861904715977</v>
      </c>
      <c r="G20" s="27" t="n">
        <f aca="false">C20*24</f>
        <v>2132.88685674604</v>
      </c>
    </row>
    <row r="21" customFormat="false" ht="15" hidden="false" customHeight="false" outlineLevel="0" collapsed="false">
      <c r="B21" s="16" t="n">
        <v>21</v>
      </c>
      <c r="C21" s="20" t="n">
        <f aca="false">'2 เวียร์'!$C$5*(B21/100)^2.5*3600</f>
        <v>100.399100991704</v>
      </c>
      <c r="D21" s="9" t="n">
        <f aca="false">'2 เวียร์'!$C$6*(B21/100+'1 ข้อมูล'!$C$58)^2.5*3600</f>
        <v>100.348892098404</v>
      </c>
      <c r="E21" s="26" t="n">
        <f aca="false">C21/D21-1</f>
        <v>0.000500343274847825</v>
      </c>
      <c r="F21" s="13" t="n">
        <f aca="false">C21/3.6</f>
        <v>27.8886391643623</v>
      </c>
      <c r="G21" s="27" t="n">
        <f aca="false">C21*24</f>
        <v>2409.5784238009</v>
      </c>
    </row>
    <row r="22" customFormat="false" ht="15" hidden="false" customHeight="false" outlineLevel="0" collapsed="false">
      <c r="B22" s="16" t="n">
        <v>22</v>
      </c>
      <c r="C22" s="20" t="n">
        <f aca="false">'2 เวียร์'!$C$5*(B22/100)^2.5*3600</f>
        <v>112.781609794846</v>
      </c>
      <c r="D22" s="9" t="n">
        <f aca="false">'2 เวียร์'!$C$6*(B22/100+'1 ข้อมูล'!$C$58)^2.5*3600</f>
        <v>112.673575893332</v>
      </c>
      <c r="E22" s="26" t="n">
        <f aca="false">C22/D22-1</f>
        <v>0.00095882198338515</v>
      </c>
      <c r="F22" s="13" t="n">
        <f aca="false">C22/3.6</f>
        <v>31.3282249430127</v>
      </c>
      <c r="G22" s="27" t="n">
        <f aca="false">C22*24</f>
        <v>2706.75863507629</v>
      </c>
    </row>
    <row r="23" customFormat="false" ht="15" hidden="false" customHeight="false" outlineLevel="0" collapsed="false">
      <c r="B23" s="16" t="n">
        <v>23</v>
      </c>
      <c r="C23" s="20" t="n">
        <f aca="false">'2 เวียร์'!$C$5*(B23/100)^2.5*3600</f>
        <v>126.037905431355</v>
      </c>
      <c r="D23" s="9" t="n">
        <f aca="false">'2 เวียร์'!$C$6*(B23/100+'1 ข้อมูล'!$C$58)^2.5*3600</f>
        <v>125.864503176292</v>
      </c>
      <c r="E23" s="26" t="n">
        <f aca="false">C23/D23-1</f>
        <v>0.00137768990213294</v>
      </c>
      <c r="F23" s="13" t="n">
        <f aca="false">C23/3.6</f>
        <v>35.0105292864875</v>
      </c>
      <c r="G23" s="27" t="n">
        <f aca="false">C23*24</f>
        <v>3024.90973035252</v>
      </c>
    </row>
    <row r="24" customFormat="false" ht="15" hidden="false" customHeight="false" outlineLevel="0" collapsed="false">
      <c r="B24" s="16" t="n">
        <v>24</v>
      </c>
      <c r="C24" s="20" t="n">
        <f aca="false">'2 เวียร์'!$C$5*(B24/100)^2.5*3600</f>
        <v>140.187629285531</v>
      </c>
      <c r="D24" s="9" t="n">
        <f aca="false">'2 เวียร์'!$C$6*(B24/100+'1 ข้อมูล'!$C$58)^2.5*3600</f>
        <v>139.941071622383</v>
      </c>
      <c r="E24" s="26" t="n">
        <f aca="false">C24/D24-1</f>
        <v>0.00176186776540921</v>
      </c>
      <c r="F24" s="13" t="n">
        <f aca="false">C24/3.6</f>
        <v>38.9410081348699</v>
      </c>
      <c r="G24" s="27" t="n">
        <f aca="false">C24*24</f>
        <v>3364.50310285276</v>
      </c>
    </row>
    <row r="25" customFormat="false" ht="15" hidden="false" customHeight="false" outlineLevel="0" collapsed="false">
      <c r="B25" s="16" t="n">
        <v>25</v>
      </c>
      <c r="C25" s="20" t="n">
        <f aca="false">'2 เวียร์'!$C$5*(B25/100)^2.5*3600</f>
        <v>155.25</v>
      </c>
      <c r="D25" s="9" t="n">
        <f aca="false">'2 เวียร์'!$C$6*(B25/100+'1 ข้อมูล'!$C$58)^2.5*3600</f>
        <v>154.922262933655</v>
      </c>
      <c r="E25" s="26" t="n">
        <f aca="false">C25/D25-1</f>
        <v>0.00211549366849639</v>
      </c>
      <c r="F25" s="13" t="n">
        <f aca="false">C25/3.6</f>
        <v>43.125</v>
      </c>
      <c r="G25" s="27" t="n">
        <f aca="false">C25*24</f>
        <v>3726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52"/>
    <col collapsed="false" customWidth="true" hidden="false" outlineLevel="0" max="5" min="4" style="0" width="18"/>
    <col collapsed="false" customWidth="true" hidden="false" outlineLevel="0" max="6" min="6" style="0" width="40"/>
  </cols>
  <sheetData>
    <row r="1" customFormat="false" ht="18.65" hidden="false" customHeight="false" outlineLevel="0" collapsed="false">
      <c r="B1" s="1" t="s">
        <v>433</v>
      </c>
    </row>
    <row r="2" customFormat="false" ht="15" hidden="false" customHeight="false" outlineLevel="0" collapsed="false">
      <c r="B2" s="2" t="s">
        <v>434</v>
      </c>
    </row>
    <row r="4" customFormat="false" ht="15" hidden="false" customHeight="false" outlineLevel="0" collapsed="false">
      <c r="B4" s="3" t="s">
        <v>2</v>
      </c>
      <c r="C4" s="3" t="s">
        <v>150</v>
      </c>
      <c r="D4" s="3" t="s">
        <v>3</v>
      </c>
      <c r="E4" s="3" t="s">
        <v>4</v>
      </c>
      <c r="F4" s="3" t="s">
        <v>138</v>
      </c>
    </row>
    <row r="6" customFormat="false" ht="15" hidden="false" customHeight="false" outlineLevel="0" collapsed="false">
      <c r="B6" s="4" t="s">
        <v>435</v>
      </c>
      <c r="C6" s="5"/>
      <c r="D6" s="5"/>
      <c r="E6" s="5"/>
      <c r="F6" s="5"/>
    </row>
    <row r="7" customFormat="false" ht="15" hidden="false" customHeight="false" outlineLevel="0" collapsed="false">
      <c r="B7" s="6" t="s">
        <v>436</v>
      </c>
      <c r="C7" s="6" t="s">
        <v>264</v>
      </c>
      <c r="D7" s="13" t="n">
        <f aca="false">'3 ขนาดบ่อ'!$E$62</f>
        <v>3.25</v>
      </c>
      <c r="E7" s="6" t="s">
        <v>19</v>
      </c>
      <c r="F7" s="6"/>
    </row>
    <row r="8" customFormat="false" ht="15" hidden="false" customHeight="false" outlineLevel="0" collapsed="false">
      <c r="B8" s="6" t="s">
        <v>437</v>
      </c>
      <c r="C8" s="6" t="s">
        <v>438</v>
      </c>
      <c r="D8" s="13" t="n">
        <f aca="false">'3 ขนาดบ่อ'!$E$49</f>
        <v>1</v>
      </c>
      <c r="E8" s="6" t="s">
        <v>19</v>
      </c>
      <c r="F8" s="6" t="s">
        <v>439</v>
      </c>
    </row>
    <row r="9" customFormat="false" ht="15" hidden="false" customHeight="false" outlineLevel="0" collapsed="false">
      <c r="B9" s="6" t="s">
        <v>440</v>
      </c>
      <c r="C9" s="6" t="s">
        <v>441</v>
      </c>
      <c r="D9" s="28" t="n">
        <f aca="false">'7 แบบพับ'!$D$7+'7 แบบพับ'!$D$8</f>
        <v>4.25</v>
      </c>
      <c r="E9" s="6" t="s">
        <v>19</v>
      </c>
      <c r="F9" s="6"/>
    </row>
    <row r="10" customFormat="false" ht="15" hidden="false" customHeight="false" outlineLevel="0" collapsed="false">
      <c r="B10" s="6" t="s">
        <v>442</v>
      </c>
      <c r="C10" s="6" t="s">
        <v>443</v>
      </c>
      <c r="D10" s="13" t="n">
        <f aca="false">MAX('7 แบบพับ'!$D$8,'3 ขนาดบ่อ'!$E$35)</f>
        <v>1</v>
      </c>
      <c r="E10" s="6" t="s">
        <v>19</v>
      </c>
      <c r="F10" s="6" t="s">
        <v>444</v>
      </c>
    </row>
    <row r="11" customFormat="false" ht="15" hidden="false" customHeight="false" outlineLevel="0" collapsed="false">
      <c r="B11" s="6" t="s">
        <v>445</v>
      </c>
      <c r="C11" s="6" t="s">
        <v>446</v>
      </c>
      <c r="D11" s="28" t="n">
        <f aca="false">'7 แบบพับ'!$D$10+'3 ขนาดบ่อ'!$E$14+'1 ข้อมูล'!$C$49+'3 ขนาดบ่อ'!$E$29</f>
        <v>4.25</v>
      </c>
      <c r="E11" s="6" t="s">
        <v>19</v>
      </c>
      <c r="F11" s="6"/>
    </row>
    <row r="12" customFormat="false" ht="15" hidden="false" customHeight="false" outlineLevel="0" collapsed="false">
      <c r="B12" s="6" t="s">
        <v>447</v>
      </c>
      <c r="C12" s="6" t="s">
        <v>448</v>
      </c>
      <c r="D12" s="28" t="n">
        <f aca="false">MAX('7 แบบพับ'!$D$9,'7 แบบพับ'!$D$11)</f>
        <v>4.25</v>
      </c>
      <c r="E12" s="6" t="s">
        <v>19</v>
      </c>
      <c r="F12" s="6"/>
    </row>
    <row r="13" customFormat="false" ht="26.85" hidden="false" customHeight="false" outlineLevel="0" collapsed="false">
      <c r="B13" s="6" t="s">
        <v>449</v>
      </c>
      <c r="C13" s="6" t="s">
        <v>450</v>
      </c>
      <c r="D13" s="13" t="n">
        <f aca="false">'7 แบบพับ'!$D$12-'7 แบบพับ'!$D$9</f>
        <v>0</v>
      </c>
      <c r="E13" s="6" t="s">
        <v>19</v>
      </c>
      <c r="F13" s="6" t="s">
        <v>451</v>
      </c>
    </row>
    <row r="14" customFormat="false" ht="15" hidden="false" customHeight="false" outlineLevel="0" collapsed="false">
      <c r="B14" s="6" t="s">
        <v>452</v>
      </c>
      <c r="C14" s="6" t="s">
        <v>453</v>
      </c>
      <c r="D14" s="13" t="n">
        <f aca="false">2*'3 ขนาดบ่อ'!$E$13+'1 ข้อมูล'!$C$49</f>
        <v>3.2</v>
      </c>
      <c r="E14" s="6" t="s">
        <v>19</v>
      </c>
      <c r="F14" s="6"/>
    </row>
    <row r="16" customFormat="false" ht="15" hidden="false" customHeight="false" outlineLevel="0" collapsed="false">
      <c r="B16" s="4" t="s">
        <v>454</v>
      </c>
      <c r="C16" s="5"/>
      <c r="D16" s="5"/>
      <c r="E16" s="5"/>
      <c r="F16" s="5"/>
    </row>
    <row r="17" customFormat="false" ht="15" hidden="false" customHeight="false" outlineLevel="0" collapsed="false">
      <c r="B17" s="29"/>
      <c r="C17" s="29" t="s">
        <v>455</v>
      </c>
      <c r="D17" s="29" t="s">
        <v>456</v>
      </c>
      <c r="E17" s="29" t="s">
        <v>457</v>
      </c>
      <c r="F17" s="29"/>
    </row>
    <row r="18" customFormat="false" ht="15" hidden="false" customHeight="false" outlineLevel="0" collapsed="false">
      <c r="B18" s="6" t="s">
        <v>458</v>
      </c>
      <c r="C18" s="13" t="n">
        <f aca="false">'3 ขนาดบ่อ'!$E$114</f>
        <v>8.6</v>
      </c>
      <c r="D18" s="13" t="n">
        <f aca="false">'7 แบบพับ'!$D$12+2*'1 ข้อมูล'!$C$49</f>
        <v>4.65</v>
      </c>
      <c r="E18" s="13" t="n">
        <f aca="false">'7 แบบพับ'!$D$12+2*'1 ข้อมูล'!$C$49</f>
        <v>4.65</v>
      </c>
      <c r="F18" s="6"/>
    </row>
    <row r="19" customFormat="false" ht="15" hidden="false" customHeight="false" outlineLevel="0" collapsed="false">
      <c r="B19" s="6" t="s">
        <v>459</v>
      </c>
      <c r="C19" s="13" t="n">
        <f aca="false">'3 ขนาดบ่อ'!$E$115</f>
        <v>1.9</v>
      </c>
      <c r="D19" s="13" t="n">
        <f aca="false">'7 แบบพับ'!$D$14+2*'1 ข้อมูล'!$C$49</f>
        <v>3.6</v>
      </c>
      <c r="E19" s="13" t="n">
        <f aca="false">'7 แบบพับ'!$D$14+2*'1 ข้อมูล'!$C$49</f>
        <v>3.6</v>
      </c>
      <c r="F19" s="6"/>
    </row>
    <row r="20" customFormat="false" ht="15" hidden="false" customHeight="false" outlineLevel="0" collapsed="false">
      <c r="B20" s="6" t="s">
        <v>460</v>
      </c>
      <c r="C20" s="13" t="n">
        <f aca="false">'3 ขนาดบ่อ'!$E$114*'3 ขนาดบ่อ'!$E$115</f>
        <v>16.34</v>
      </c>
      <c r="D20" s="13" t="n">
        <f aca="false">('7 แบบพับ'!$D$12+2*'1 ข้อมูล'!$C$49)*('7 แบบพับ'!$D$14+2*'1 ข้อมูล'!$C$49)</f>
        <v>16.74</v>
      </c>
      <c r="E20" s="13" t="n">
        <f aca="false">('7 แบบพับ'!$D$9+2*'1 ข้อมูล'!$C$49)*('7 แบบพับ'!$D$14+2*'1 ข้อมูล'!$C$49)+('7 แบบพับ'!$D$12-'7 แบบพับ'!$D$9)*('3 ขนาดบ่อ'!$E$13+2*'1 ข้อมูล'!$C$49)</f>
        <v>16.74</v>
      </c>
      <c r="F20" s="6"/>
    </row>
    <row r="21" customFormat="false" ht="15" hidden="false" customHeight="false" outlineLevel="0" collapsed="false">
      <c r="B21" s="6" t="s">
        <v>461</v>
      </c>
      <c r="C21" s="13" t="n">
        <f aca="false">2*('3 ขนาดบ่อ'!$E$110+'1 ข้อมูล'!$C$49+'3 ขนาดบ่อ'!$E$111+'1 ข้อมูล'!$C$49)*'1 ข้อมูล'!$C$49*'3 ขนาดบ่อ'!$E$70</f>
        <v>4.848</v>
      </c>
      <c r="D21" s="13" t="n">
        <f aca="false">2*('7 แบบพับ'!$D$12+'1 ข้อมูล'!$C$49+'7 แบบพับ'!$D$14+'1 ข้อมูล'!$C$49)*'1 ข้อมูล'!$C$49*'3 ขนาดบ่อ'!$E$70</f>
        <v>3.768</v>
      </c>
      <c r="E21" s="13" t="n">
        <f aca="false">2*('7 แบบพับ'!$D$12+'1 ข้อมูล'!$C$49+'7 แบบพับ'!$D$14+'1 ข้อมูล'!$C$49)*'1 ข้อมูล'!$C$49*'3 ขนาดบ่อ'!$E$70</f>
        <v>3.768</v>
      </c>
      <c r="F21" s="6"/>
    </row>
    <row r="22" customFormat="false" ht="15" hidden="false" customHeight="false" outlineLevel="0" collapsed="false">
      <c r="B22" s="6" t="s">
        <v>462</v>
      </c>
      <c r="C22" s="13" t="n">
        <f aca="false">0</f>
        <v>0</v>
      </c>
      <c r="D22" s="13" t="n">
        <f aca="false">('7 แบบพับ'!$D$12-'7 แบบพับ'!$D$8)*'1 ข้อมูล'!$C$49*'3 ขนาดบ่อ'!$E$70</f>
        <v>0.78</v>
      </c>
      <c r="E22" s="13" t="n">
        <f aca="false">'7 แบบพับ'!$D$7*'1 ข้อมูล'!$C$49*'3 ขนาดบ่อ'!$E$70</f>
        <v>0.78</v>
      </c>
      <c r="F22" s="6"/>
    </row>
    <row r="23" customFormat="false" ht="15" hidden="false" customHeight="false" outlineLevel="0" collapsed="false">
      <c r="B23" s="6" t="s">
        <v>463</v>
      </c>
      <c r="C23" s="13" t="n">
        <f aca="false">'3 ขนาดบ่อ'!$E$114*'3 ขนาดบ่อ'!$E$115*'1 ข้อมูล'!$C$50</f>
        <v>3.268</v>
      </c>
      <c r="D23" s="13" t="n">
        <f aca="false">('7 แบบพับ'!$D$12+2*'1 ข้อมูล'!$C$49)*('7 แบบพับ'!$D$14+2*'1 ข้อมูล'!$C$49)*'1 ข้อมูล'!$C$50</f>
        <v>3.348</v>
      </c>
      <c r="E23" s="13" t="n">
        <f aca="false">(('7 แบบพับ'!$D$9+2*'1 ข้อมูล'!$C$49)*('7 แบบพับ'!$D$14+2*'1 ข้อมูล'!$C$49)+('7 แบบพับ'!$D$12-'7 แบบพับ'!$D$9)*('3 ขนาดบ่อ'!$E$13+2*'1 ข้อมูล'!$C$49))*'1 ข้อมูล'!$C$50</f>
        <v>3.348</v>
      </c>
      <c r="F23" s="6"/>
    </row>
    <row r="24" customFormat="false" ht="15" hidden="false" customHeight="false" outlineLevel="0" collapsed="false">
      <c r="B24" s="6" t="s">
        <v>464</v>
      </c>
      <c r="C24" s="28" t="n">
        <f aca="false">SUM(C21:C23)</f>
        <v>8.116</v>
      </c>
      <c r="D24" s="28" t="n">
        <f aca="false">SUM(D21:D23)</f>
        <v>7.896</v>
      </c>
      <c r="E24" s="28" t="n">
        <f aca="false">SUM(E21:E23)</f>
        <v>7.896</v>
      </c>
      <c r="F24" s="6" t="s">
        <v>465</v>
      </c>
    </row>
    <row r="25" customFormat="false" ht="15" hidden="false" customHeight="false" outlineLevel="0" collapsed="false">
      <c r="B25" s="6" t="s">
        <v>466</v>
      </c>
      <c r="C25" s="6" t="s">
        <v>101</v>
      </c>
      <c r="D25" s="30" t="n">
        <f aca="false">1-D18/C18</f>
        <v>0.459302325581395</v>
      </c>
      <c r="E25" s="30" t="n">
        <f aca="false">1-E18/C18</f>
        <v>0.459302325581395</v>
      </c>
      <c r="F25" s="6"/>
    </row>
    <row r="28" customFormat="false" ht="15" hidden="false" customHeight="false" outlineLevel="0" collapsed="false">
      <c r="B28" s="4" t="s">
        <v>467</v>
      </c>
      <c r="C28" s="5"/>
      <c r="D28" s="5"/>
      <c r="E28" s="5"/>
      <c r="F28" s="5"/>
    </row>
    <row r="29" customFormat="false" ht="15" hidden="false" customHeight="false" outlineLevel="0" collapsed="false">
      <c r="B29" s="31" t="s">
        <v>468</v>
      </c>
      <c r="C29" s="6" t="s">
        <v>469</v>
      </c>
      <c r="D29" s="6"/>
      <c r="E29" s="6"/>
      <c r="F29" s="6"/>
    </row>
    <row r="30" customFormat="false" ht="26.85" hidden="false" customHeight="false" outlineLevel="0" collapsed="false">
      <c r="B30" s="31" t="s">
        <v>470</v>
      </c>
      <c r="C30" s="6" t="s">
        <v>471</v>
      </c>
      <c r="D30" s="6"/>
      <c r="E30" s="6"/>
      <c r="F30" s="6"/>
    </row>
    <row r="31" customFormat="false" ht="26.85" hidden="false" customHeight="false" outlineLevel="0" collapsed="false">
      <c r="B31" s="31" t="s">
        <v>472</v>
      </c>
      <c r="C31" s="6" t="s">
        <v>473</v>
      </c>
      <c r="D31" s="6"/>
      <c r="E31" s="6"/>
      <c r="F31" s="6"/>
    </row>
    <row r="32" customFormat="false" ht="15" hidden="false" customHeight="false" outlineLevel="0" collapsed="false">
      <c r="B32" s="31" t="s">
        <v>474</v>
      </c>
      <c r="C32" s="6" t="s">
        <v>475</v>
      </c>
      <c r="D32" s="6"/>
      <c r="E32" s="6"/>
      <c r="F32" s="6"/>
    </row>
    <row r="33" customFormat="false" ht="26.85" hidden="false" customHeight="false" outlineLevel="0" collapsed="false">
      <c r="B33" s="32" t="s">
        <v>476</v>
      </c>
      <c r="C33" s="6" t="s">
        <v>477</v>
      </c>
      <c r="D33" s="6"/>
      <c r="E33" s="6"/>
      <c r="F33" s="6"/>
    </row>
    <row r="34" customFormat="false" ht="26.85" hidden="false" customHeight="false" outlineLevel="0" collapsed="false">
      <c r="B34" s="32" t="s">
        <v>478</v>
      </c>
      <c r="C34" s="6" t="s">
        <v>479</v>
      </c>
      <c r="D34" s="6"/>
      <c r="E34" s="6"/>
      <c r="F34" s="6"/>
    </row>
    <row r="35" customFormat="false" ht="26.85" hidden="false" customHeight="false" outlineLevel="0" collapsed="false">
      <c r="B35" s="32" t="s">
        <v>480</v>
      </c>
      <c r="C35" s="6" t="s">
        <v>481</v>
      </c>
      <c r="D35" s="6"/>
      <c r="E35" s="6"/>
      <c r="F35" s="6"/>
    </row>
    <row r="36" customFormat="false" ht="15" hidden="false" customHeight="false" outlineLevel="0" collapsed="false">
      <c r="B36" s="32" t="s">
        <v>482</v>
      </c>
      <c r="C36" s="6" t="s">
        <v>483</v>
      </c>
      <c r="D36" s="6"/>
      <c r="E36" s="6"/>
      <c r="F3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18.65" hidden="false" customHeight="false" outlineLevel="0" collapsed="false">
      <c r="B1" s="1" t="s">
        <v>484</v>
      </c>
    </row>
    <row r="2" customFormat="false" ht="15" hidden="false" customHeight="false" outlineLevel="0" collapsed="false">
      <c r="B2" s="2" t="s">
        <v>485</v>
      </c>
    </row>
    <row r="4" customFormat="false" ht="26.85" hidden="false" customHeight="false" outlineLevel="0" collapsed="false">
      <c r="B4" s="3" t="s">
        <v>486</v>
      </c>
      <c r="C4" s="3" t="s">
        <v>487</v>
      </c>
      <c r="D4" s="3" t="s">
        <v>488</v>
      </c>
      <c r="E4" s="3" t="s">
        <v>489</v>
      </c>
      <c r="F4" s="3" t="s">
        <v>490</v>
      </c>
      <c r="G4" s="3" t="s">
        <v>491</v>
      </c>
      <c r="H4" s="3" t="s">
        <v>492</v>
      </c>
      <c r="I4" s="3" t="s">
        <v>493</v>
      </c>
    </row>
    <row r="5" customFormat="false" ht="15" hidden="false" customHeight="false" outlineLevel="0" collapsed="false">
      <c r="B5" s="33" t="s">
        <v>494</v>
      </c>
      <c r="C5" s="6" t="s">
        <v>495</v>
      </c>
      <c r="D5" s="6" t="s">
        <v>496</v>
      </c>
      <c r="E5" s="6" t="s">
        <v>497</v>
      </c>
      <c r="F5" s="24" t="n">
        <f aca="false">'1 ข้อมูล'!$C$10/3600</f>
        <v>0.0174421296296296</v>
      </c>
      <c r="G5" s="6" t="s">
        <v>498</v>
      </c>
      <c r="H5" s="13"/>
      <c r="I5" s="18"/>
    </row>
    <row r="6" customFormat="false" ht="15" hidden="false" customHeight="false" outlineLevel="0" collapsed="false">
      <c r="B6" s="33" t="s">
        <v>499</v>
      </c>
      <c r="C6" s="6" t="s">
        <v>500</v>
      </c>
      <c r="D6" s="6" t="s">
        <v>501</v>
      </c>
      <c r="E6" s="6" t="s">
        <v>497</v>
      </c>
      <c r="F6" s="24" t="n">
        <f aca="false">1.5*F5</f>
        <v>0.0261631944444444</v>
      </c>
      <c r="G6" s="6" t="s">
        <v>502</v>
      </c>
      <c r="H6" s="13"/>
      <c r="I6" s="18"/>
    </row>
    <row r="7" customFormat="false" ht="15" hidden="false" customHeight="false" outlineLevel="0" collapsed="false">
      <c r="B7" s="33" t="s">
        <v>503</v>
      </c>
      <c r="C7" s="6" t="s">
        <v>504</v>
      </c>
      <c r="D7" s="6" t="s">
        <v>505</v>
      </c>
      <c r="E7" s="6" t="s">
        <v>497</v>
      </c>
      <c r="F7" s="24" t="n">
        <f aca="false">'1 ข้อมูล'!$C$8/3600</f>
        <v>0.0277777777777778</v>
      </c>
      <c r="G7" s="6" t="s">
        <v>506</v>
      </c>
      <c r="H7" s="13"/>
      <c r="I7" s="18"/>
    </row>
    <row r="8" customFormat="false" ht="15" hidden="false" customHeight="false" outlineLevel="0" collapsed="false">
      <c r="B8" s="33" t="s">
        <v>507</v>
      </c>
      <c r="C8" s="6" t="s">
        <v>508</v>
      </c>
      <c r="D8" s="6" t="s">
        <v>509</v>
      </c>
      <c r="E8" s="6"/>
      <c r="F8" s="24" t="n">
        <v>1</v>
      </c>
      <c r="G8" s="6" t="s">
        <v>510</v>
      </c>
      <c r="H8" s="13" t="s">
        <v>494</v>
      </c>
      <c r="I8" s="18"/>
    </row>
    <row r="9" customFormat="false" ht="15" hidden="false" customHeight="false" outlineLevel="0" collapsed="false">
      <c r="B9" s="33" t="s">
        <v>511</v>
      </c>
      <c r="C9" s="6" t="s">
        <v>512</v>
      </c>
      <c r="D9" s="6" t="s">
        <v>513</v>
      </c>
      <c r="E9" s="6" t="s">
        <v>497</v>
      </c>
      <c r="F9" s="24" t="n">
        <f aca="false">MAX(F6,F7)/F8</f>
        <v>0.0277777777777778</v>
      </c>
      <c r="G9" s="6" t="s">
        <v>514</v>
      </c>
      <c r="H9" s="13" t="n">
        <f aca="false">'2 เวียร์'!$D$13</f>
        <v>0.0277777777777778</v>
      </c>
      <c r="I9" s="18"/>
    </row>
    <row r="10" customFormat="false" ht="15" hidden="false" customHeight="false" outlineLevel="0" collapsed="false">
      <c r="B10" s="33" t="s">
        <v>515</v>
      </c>
      <c r="C10" s="6" t="s">
        <v>516</v>
      </c>
      <c r="D10" s="6"/>
      <c r="E10" s="6" t="s">
        <v>19</v>
      </c>
      <c r="F10" s="28" t="n">
        <f aca="false">F12*2*1.1</f>
        <v>0.458178826795053</v>
      </c>
      <c r="G10" s="6" t="s">
        <v>517</v>
      </c>
      <c r="H10" s="13" t="n">
        <f aca="false">('3 ขนาดบ่อ'!$E$13-'3 ขนาดบ่อ'!$E$10)/2</f>
        <v>0.45</v>
      </c>
      <c r="I10" s="18" t="str">
        <f aca="false">IF(H10&gt;=2*F12,"ผ่าน ✔","ไม่ผ่าน ✘ (ต้อง ≥ 2Hmax)")</f>
        <v>ผ่าน ✔</v>
      </c>
    </row>
    <row r="11" customFormat="false" ht="15" hidden="false" customHeight="false" outlineLevel="0" collapsed="false">
      <c r="B11" s="33" t="s">
        <v>518</v>
      </c>
      <c r="C11" s="6" t="s">
        <v>410</v>
      </c>
      <c r="D11" s="6"/>
      <c r="E11" s="6" t="s">
        <v>19</v>
      </c>
      <c r="F11" s="28" t="n">
        <f aca="false">F12*2</f>
        <v>0.416526206177321</v>
      </c>
      <c r="G11" s="6" t="s">
        <v>519</v>
      </c>
      <c r="H11" s="13" t="n">
        <f aca="false">'3 ขนาดบ่อ'!$E$8</f>
        <v>0.6</v>
      </c>
      <c r="I11" s="18" t="str">
        <f aca="false">IF(H11&gt;=2*F12,"ผ่าน ✔","ไม่ผ่าน ✘")</f>
        <v>ผ่าน ✔</v>
      </c>
    </row>
    <row r="12" customFormat="false" ht="26.85" hidden="false" customHeight="false" outlineLevel="0" collapsed="false">
      <c r="B12" s="33" t="s">
        <v>520</v>
      </c>
      <c r="C12" s="6" t="s">
        <v>521</v>
      </c>
      <c r="D12" s="6"/>
      <c r="E12" s="6" t="s">
        <v>19</v>
      </c>
      <c r="F12" s="28" t="n">
        <f aca="false">(F9/1.36)^(1/2.48)</f>
        <v>0.208263103088661</v>
      </c>
      <c r="G12" s="6" t="s">
        <v>522</v>
      </c>
      <c r="H12" s="13" t="n">
        <f aca="false">'3 ขนาดบ่อ'!$E$7</f>
        <v>0.209665688762588</v>
      </c>
      <c r="I12" s="18" t="s">
        <v>523</v>
      </c>
    </row>
    <row r="13" customFormat="false" ht="15" hidden="false" customHeight="false" outlineLevel="0" collapsed="false">
      <c r="B13" s="33" t="s">
        <v>524</v>
      </c>
      <c r="C13" s="6" t="s">
        <v>525</v>
      </c>
      <c r="D13" s="6"/>
      <c r="E13" s="6"/>
      <c r="F13" s="28" t="n">
        <f aca="false">F11/2</f>
        <v>0.208263103088661</v>
      </c>
      <c r="G13" s="6" t="str">
        <f aca="false">"Check P/2 ≥ Hmax: "&amp;IF(F13&gt;=F12,"✔","✘")</f>
        <v>Check P/2 ≥ Hmax: ✔</v>
      </c>
      <c r="H13" s="13"/>
      <c r="I13" s="18"/>
    </row>
    <row r="14" customFormat="false" ht="15" hidden="false" customHeight="false" outlineLevel="0" collapsed="false">
      <c r="B14" s="33" t="s">
        <v>526</v>
      </c>
      <c r="C14" s="6" t="s">
        <v>527</v>
      </c>
      <c r="D14" s="6"/>
      <c r="E14" s="6"/>
      <c r="F14" s="28" t="n">
        <f aca="false">F10/2</f>
        <v>0.229089413397527</v>
      </c>
      <c r="G14" s="6" t="str">
        <f aca="false">"Check b/2 ≥ Hmax: "&amp;IF(F14&gt;=F12,"✔","✘")</f>
        <v>Check b/2 ≥ Hmax: ✔</v>
      </c>
      <c r="H14" s="13"/>
      <c r="I14" s="18"/>
    </row>
    <row r="15" customFormat="false" ht="26.85" hidden="false" customHeight="false" outlineLevel="0" collapsed="false">
      <c r="B15" s="33" t="s">
        <v>528</v>
      </c>
      <c r="C15" s="6" t="s">
        <v>529</v>
      </c>
      <c r="D15" s="6"/>
      <c r="E15" s="6" t="s">
        <v>19</v>
      </c>
      <c r="F15" s="28" t="n">
        <f aca="false">F12*3</f>
        <v>0.624789309265982</v>
      </c>
      <c r="G15" s="6" t="s">
        <v>530</v>
      </c>
      <c r="H15" s="13" t="n">
        <f aca="false">'3 ขนาดบ่อ'!$E$15</f>
        <v>0.95</v>
      </c>
      <c r="I15" s="18" t="str">
        <f aca="false">IF(AND(H15&gt;=3*F12,H15&lt;=5*F12),"ผ่าน ✔ (อยู่ใน 3–5 Hmax)","ไม่ผ่าน ✘")</f>
        <v>ผ่าน ✔ (อยู่ใน 3–5 Hmax)</v>
      </c>
    </row>
    <row r="16" customFormat="false" ht="15" hidden="false" customHeight="false" outlineLevel="0" collapsed="false">
      <c r="B16" s="33" t="s">
        <v>531</v>
      </c>
      <c r="C16" s="6" t="s">
        <v>532</v>
      </c>
      <c r="D16" s="6"/>
      <c r="E16" s="6" t="s">
        <v>19</v>
      </c>
      <c r="F16" s="28" t="n">
        <f aca="false">F12*1.2</f>
        <v>0.249915723706393</v>
      </c>
      <c r="G16" s="6" t="s">
        <v>533</v>
      </c>
      <c r="H16" s="13" t="n">
        <f aca="false">'3 ขนาดบ่อ'!$E$9</f>
        <v>0.3</v>
      </c>
      <c r="I16" s="18" t="str">
        <f aca="false">IF(H16&gt;=1.2*F12,"ผ่าน ✔","ไม่ผ่าน ✘")</f>
        <v>ผ่าน ✔</v>
      </c>
    </row>
    <row r="17" customFormat="false" ht="26.85" hidden="false" customHeight="false" outlineLevel="0" collapsed="false">
      <c r="B17" s="33" t="s">
        <v>534</v>
      </c>
      <c r="C17" s="6" t="s">
        <v>371</v>
      </c>
      <c r="D17" s="6"/>
      <c r="E17" s="6" t="s">
        <v>19</v>
      </c>
      <c r="F17" s="28" t="n">
        <f aca="false">F10*2+2*F16/TAN(RADIANS(45))</f>
        <v>1.41618910100289</v>
      </c>
      <c r="G17" s="6" t="s">
        <v>535</v>
      </c>
      <c r="H17" s="13" t="n">
        <f aca="false">'3 ขนาดบ่อ'!$E$13</f>
        <v>1.5</v>
      </c>
      <c r="I17" s="18" t="str">
        <f aca="false">IF(H17&gt;=F17,"ผ่าน ✔","แคบกว่า ✘")</f>
        <v>ผ่าน ✔</v>
      </c>
    </row>
    <row r="19" customFormat="false" ht="15" hidden="false" customHeight="false" outlineLevel="0" collapsed="false">
      <c r="B19" s="4" t="s">
        <v>138</v>
      </c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B20" s="23" t="s">
        <v>536</v>
      </c>
    </row>
    <row r="21" customFormat="false" ht="15" hidden="false" customHeight="false" outlineLevel="0" collapsed="false">
      <c r="B21" s="23" t="s">
        <v>537</v>
      </c>
    </row>
    <row r="22" customFormat="false" ht="15" hidden="false" customHeight="false" outlineLevel="0" collapsed="false">
      <c r="B22" s="23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6"/>
    <col collapsed="false" customWidth="true" hidden="false" outlineLevel="0" max="7" min="7" style="0" width="30"/>
  </cols>
  <sheetData>
    <row r="1" customFormat="false" ht="18.65" hidden="false" customHeight="false" outlineLevel="0" collapsed="false">
      <c r="B1" s="1" t="s">
        <v>539</v>
      </c>
    </row>
    <row r="2" customFormat="false" ht="15" hidden="false" customHeight="false" outlineLevel="0" collapsed="false">
      <c r="B2" s="2" t="s">
        <v>540</v>
      </c>
    </row>
    <row r="4" customFormat="false" ht="15" hidden="false" customHeight="false" outlineLevel="0" collapsed="false">
      <c r="B4" s="3" t="s">
        <v>541</v>
      </c>
      <c r="C4" s="3" t="s">
        <v>3</v>
      </c>
      <c r="D4" s="3" t="s">
        <v>4</v>
      </c>
      <c r="E4" s="3"/>
      <c r="F4" s="3"/>
      <c r="G4" s="3" t="s">
        <v>138</v>
      </c>
    </row>
    <row r="5" customFormat="false" ht="15" hidden="false" customHeight="false" outlineLevel="0" collapsed="false">
      <c r="B5" s="6" t="s">
        <v>542</v>
      </c>
      <c r="C5" s="16" t="n">
        <f aca="false">'1 ข้อมูล'!$C$28</f>
        <v>15</v>
      </c>
      <c r="D5" s="6" t="s">
        <v>51</v>
      </c>
      <c r="E5" s="6"/>
      <c r="F5" s="6"/>
      <c r="G5" s="6" t="s">
        <v>543</v>
      </c>
    </row>
    <row r="6" customFormat="false" ht="26.85" hidden="false" customHeight="false" outlineLevel="0" collapsed="false">
      <c r="B6" s="6" t="s">
        <v>544</v>
      </c>
      <c r="C6" s="34" t="n">
        <f aca="false">'1 ข้อมูล'!$C$10</f>
        <v>62.7916666666667</v>
      </c>
      <c r="D6" s="6" t="s">
        <v>11</v>
      </c>
      <c r="E6" s="6"/>
      <c r="F6" s="6"/>
      <c r="G6" s="6" t="s">
        <v>545</v>
      </c>
    </row>
    <row r="7" customFormat="false" ht="15" hidden="false" customHeight="false" outlineLevel="0" collapsed="false">
      <c r="B7" s="6" t="s">
        <v>546</v>
      </c>
      <c r="C7" s="10" t="n">
        <v>0.09</v>
      </c>
      <c r="D7" s="6" t="s">
        <v>58</v>
      </c>
      <c r="E7" s="6"/>
      <c r="F7" s="6"/>
      <c r="G7" s="6" t="s">
        <v>59</v>
      </c>
    </row>
    <row r="8" customFormat="false" ht="26.85" hidden="false" customHeight="false" outlineLevel="0" collapsed="false">
      <c r="B8" s="6" t="s">
        <v>547</v>
      </c>
      <c r="C8" s="35" t="n">
        <f aca="false">'3 ขนาดบ่อ'!$E$47+'4 ช่องโชว์น้ำ'!$F$6/100+1.5*'4 ช่องโชว์น้ำ'!$G$6^2/(2*'1 ข้อมูล'!$C$54)</f>
        <v>0.953319742642753</v>
      </c>
      <c r="D8" s="6" t="s">
        <v>19</v>
      </c>
      <c r="E8" s="6"/>
      <c r="F8" s="6"/>
      <c r="G8" s="6" t="s">
        <v>548</v>
      </c>
    </row>
    <row r="9" customFormat="false" ht="15" hidden="false" customHeight="false" outlineLevel="0" collapsed="false">
      <c r="B9" s="6" t="s">
        <v>549</v>
      </c>
      <c r="C9" s="28" t="n">
        <f aca="false">C6*C5/60+C7</f>
        <v>15.7879166666667</v>
      </c>
      <c r="D9" s="6" t="s">
        <v>58</v>
      </c>
      <c r="E9" s="6"/>
      <c r="F9" s="6"/>
      <c r="G9" s="6" t="s">
        <v>550</v>
      </c>
    </row>
    <row r="10" customFormat="false" ht="15" hidden="false" customHeight="false" outlineLevel="0" collapsed="false">
      <c r="B10" s="6" t="s">
        <v>551</v>
      </c>
      <c r="C10" s="9" t="n">
        <f aca="false">('3 ขนาดบ่อ'!$E$62*'3 ขนาดบ่อ'!$E$13*C8-C7)/C6*60</f>
        <v>4.35481393055881</v>
      </c>
      <c r="D10" s="6" t="s">
        <v>51</v>
      </c>
      <c r="E10" s="6"/>
      <c r="F10" s="6"/>
      <c r="G10" s="6" t="s">
        <v>552</v>
      </c>
    </row>
    <row r="12" customFormat="false" ht="15" hidden="false" customHeight="false" outlineLevel="0" collapsed="false">
      <c r="B12" s="4" t="s">
        <v>553</v>
      </c>
      <c r="C12" s="5"/>
      <c r="D12" s="5"/>
      <c r="E12" s="5"/>
      <c r="F12" s="5"/>
      <c r="G12" s="5"/>
    </row>
    <row r="13" customFormat="false" ht="15" hidden="false" customHeight="false" outlineLevel="0" collapsed="false">
      <c r="B13" s="3" t="s">
        <v>2</v>
      </c>
      <c r="C13" s="3" t="s">
        <v>554</v>
      </c>
      <c r="D13" s="3" t="s">
        <v>555</v>
      </c>
      <c r="E13" s="3" t="s">
        <v>4</v>
      </c>
      <c r="F13" s="3"/>
      <c r="G13" s="3" t="s">
        <v>150</v>
      </c>
    </row>
    <row r="14" customFormat="false" ht="15" hidden="false" customHeight="false" outlineLevel="0" collapsed="false">
      <c r="B14" s="6" t="s">
        <v>53</v>
      </c>
      <c r="C14" s="36" t="n">
        <f aca="false">'1 ข้อมูล'!$C$29</f>
        <v>-1</v>
      </c>
      <c r="D14" s="36" t="n">
        <v>-1.5</v>
      </c>
      <c r="E14" s="6" t="s">
        <v>19</v>
      </c>
      <c r="F14" s="6"/>
      <c r="G14" s="6" t="s">
        <v>556</v>
      </c>
    </row>
    <row r="15" customFormat="false" ht="15" hidden="false" customHeight="false" outlineLevel="0" collapsed="false">
      <c r="B15" s="6" t="s">
        <v>557</v>
      </c>
      <c r="C15" s="13" t="n">
        <f aca="false">'1 ข้อมูล'!$C$30</f>
        <v>2.5</v>
      </c>
      <c r="D15" s="13" t="n">
        <f aca="false">'3 ขนาดบ่อ'!$E$13</f>
        <v>1.5</v>
      </c>
      <c r="E15" s="6" t="s">
        <v>19</v>
      </c>
      <c r="F15" s="6"/>
      <c r="G15" s="6" t="s">
        <v>558</v>
      </c>
    </row>
    <row r="16" customFormat="false" ht="15" hidden="false" customHeight="false" outlineLevel="0" collapsed="false">
      <c r="B16" s="6" t="s">
        <v>559</v>
      </c>
      <c r="C16" s="13" t="n">
        <f aca="false">$C$8-C14</f>
        <v>1.95331974264275</v>
      </c>
      <c r="D16" s="13" t="n">
        <f aca="false">$C$8-D14</f>
        <v>2.45331974264275</v>
      </c>
      <c r="E16" s="6" t="s">
        <v>19</v>
      </c>
      <c r="F16" s="6"/>
      <c r="G16" s="6" t="s">
        <v>560</v>
      </c>
    </row>
    <row r="17" customFormat="false" ht="15" hidden="false" customHeight="false" outlineLevel="0" collapsed="false">
      <c r="B17" s="6" t="s">
        <v>561</v>
      </c>
      <c r="C17" s="13" t="n">
        <f aca="false">$C$9/(C15*C16)</f>
        <v>3.23304297233106</v>
      </c>
      <c r="D17" s="13" t="n">
        <f aca="false">$C$9/(D15*D16)</f>
        <v>4.29021851283021</v>
      </c>
      <c r="E17" s="6" t="s">
        <v>19</v>
      </c>
      <c r="F17" s="6"/>
      <c r="G17" s="6" t="s">
        <v>562</v>
      </c>
    </row>
    <row r="18" customFormat="false" ht="15" hidden="false" customHeight="false" outlineLevel="0" collapsed="false">
      <c r="B18" s="6" t="s">
        <v>563</v>
      </c>
      <c r="C18" s="28" t="n">
        <f aca="false">CEILING(ROUND(C17,4),'1 ข้อมูล'!$C$13)</f>
        <v>3.25</v>
      </c>
      <c r="D18" s="28" t="n">
        <f aca="false">CEILING(ROUND(D17,4),'1 ข้อมูล'!$C$13)</f>
        <v>4.3</v>
      </c>
      <c r="E18" s="6" t="s">
        <v>19</v>
      </c>
      <c r="F18" s="6"/>
      <c r="G18" s="6" t="s">
        <v>564</v>
      </c>
    </row>
    <row r="19" customFormat="false" ht="15" hidden="false" customHeight="false" outlineLevel="0" collapsed="false">
      <c r="B19" s="6" t="s">
        <v>565</v>
      </c>
      <c r="C19" s="9" t="n">
        <f aca="false">C18*C15*C16-$C$7</f>
        <v>15.7807229089724</v>
      </c>
      <c r="D19" s="9" t="n">
        <f aca="false">D18*D15*D16-$C$7</f>
        <v>15.7339123400458</v>
      </c>
      <c r="E19" s="6" t="s">
        <v>58</v>
      </c>
      <c r="F19" s="6"/>
      <c r="G19" s="6"/>
    </row>
    <row r="20" customFormat="false" ht="15" hidden="false" customHeight="false" outlineLevel="0" collapsed="false">
      <c r="B20" s="6" t="s">
        <v>566</v>
      </c>
      <c r="C20" s="20" t="n">
        <f aca="false">C19/$C$6*60</f>
        <v>15.079124743809</v>
      </c>
      <c r="D20" s="20" t="n">
        <f aca="false">D19/$C$6*60</f>
        <v>15.0343953348811</v>
      </c>
      <c r="E20" s="6" t="s">
        <v>51</v>
      </c>
      <c r="F20" s="6"/>
      <c r="G20" s="6"/>
    </row>
    <row r="21" customFormat="false" ht="15" hidden="false" customHeight="false" outlineLevel="0" collapsed="false">
      <c r="B21" s="6" t="s">
        <v>567</v>
      </c>
      <c r="C21" s="18" t="str">
        <f aca="false">IF(C20&gt;=$C$5,"ผ่าน ✔","ไม่ผ่าน ✘")</f>
        <v>ผ่าน ✔</v>
      </c>
      <c r="D21" s="18" t="str">
        <f aca="false">IF(D20&gt;=$C$5,"ผ่าน ✔","ไม่ผ่าน ✘")</f>
        <v>ผ่าน ✔</v>
      </c>
      <c r="E21" s="6"/>
      <c r="F21" s="6"/>
      <c r="G21" s="6"/>
    </row>
    <row r="22" customFormat="false" ht="15" hidden="false" customHeight="false" outlineLevel="0" collapsed="false">
      <c r="B22" s="6" t="s">
        <v>568</v>
      </c>
      <c r="C22" s="9" t="n">
        <f aca="false">C19/'1 ข้อมูล'!$C$8*60</f>
        <v>9.46843374538342</v>
      </c>
      <c r="D22" s="9" t="n">
        <f aca="false">D19/'1 ข้อมูล'!$C$8*60</f>
        <v>9.44034740402745</v>
      </c>
      <c r="E22" s="6" t="s">
        <v>51</v>
      </c>
      <c r="F22" s="6"/>
      <c r="G22" s="6" t="s">
        <v>281</v>
      </c>
    </row>
    <row r="23" customFormat="false" ht="26.85" hidden="false" customHeight="false" outlineLevel="0" collapsed="false">
      <c r="B23" s="6" t="s">
        <v>569</v>
      </c>
      <c r="C23" s="16" t="n">
        <f aca="false">C18*C15*($C$8-(C14+0.6))/'1 ข้อมูล'!$C$9*60</f>
        <v>65.9743374538342</v>
      </c>
      <c r="D23" s="16" t="n">
        <f aca="false">D18*D15*($C$8-(D14+0.6))/'1 ข้อมูล'!$C$9*60</f>
        <v>71.7234740402745</v>
      </c>
      <c r="E23" s="6" t="s">
        <v>51</v>
      </c>
      <c r="F23" s="6"/>
      <c r="G23" s="6" t="s">
        <v>570</v>
      </c>
    </row>
    <row r="24" customFormat="false" ht="15" hidden="false" customHeight="false" outlineLevel="0" collapsed="false">
      <c r="B24" s="6" t="s">
        <v>571</v>
      </c>
      <c r="C24" s="13" t="n">
        <f aca="false">'3 ขนาดบ่อ'!$E$70-C14</f>
        <v>2.2</v>
      </c>
      <c r="D24" s="13" t="n">
        <f aca="false">'3 ขนาดบ่อ'!$E$70-D14</f>
        <v>2.7</v>
      </c>
      <c r="E24" s="6" t="s">
        <v>19</v>
      </c>
      <c r="F24" s="6"/>
      <c r="G24" s="6" t="s">
        <v>572</v>
      </c>
    </row>
    <row r="25" customFormat="false" ht="15" hidden="false" customHeight="false" outlineLevel="0" collapsed="false">
      <c r="B25" s="6" t="s">
        <v>573</v>
      </c>
      <c r="C25" s="28" t="n">
        <f aca="false">C18+'3 ขนาดบ่อ'!$E$49+'3 ขนาดบ่อ'!$E$109+2*'1 ข้อมูล'!$C$49</f>
        <v>8.6</v>
      </c>
      <c r="D25" s="28" t="n">
        <f aca="false">D18+'3 ขนาดบ่อ'!$E$49+'3 ขนาดบ่อ'!$E$109+2*'1 ข้อมูล'!$C$49</f>
        <v>9.65</v>
      </c>
      <c r="E25" s="6" t="s">
        <v>19</v>
      </c>
      <c r="F25" s="6"/>
      <c r="G25" s="6" t="s">
        <v>574</v>
      </c>
    </row>
    <row r="26" customFormat="false" ht="15" hidden="false" customHeight="false" outlineLevel="0" collapsed="false">
      <c r="B26" s="6" t="s">
        <v>575</v>
      </c>
      <c r="C26" s="6" t="str">
        <f aca="false">TEXT(C15+2*'1 ข้อมูล'!$C$49,"0.00")&amp;" / "&amp;TEXT('3 ขนาดบ่อ'!$E$13+2*'1 ข้อมูล'!$C$49,"0.00")</f>
        <v>2.90 / 1.90</v>
      </c>
      <c r="D26" s="6" t="str">
        <f aca="false">TEXT(D15+2*'1 ข้อมูล'!$C$49,"0.00")&amp;" / "&amp;TEXT('3 ขนาดบ่อ'!$E$13+2*'1 ข้อมูล'!$C$49,"0.00")</f>
        <v>1.90 / 1.90</v>
      </c>
      <c r="E26" s="6" t="s">
        <v>19</v>
      </c>
      <c r="F26" s="6"/>
      <c r="G26" s="6"/>
    </row>
    <row r="28" customFormat="false" ht="15" hidden="false" customHeight="false" outlineLevel="0" collapsed="false">
      <c r="B28" s="4" t="s">
        <v>576</v>
      </c>
      <c r="C28" s="5"/>
      <c r="D28" s="5"/>
      <c r="E28" s="5"/>
      <c r="F28" s="5"/>
      <c r="G28" s="5"/>
    </row>
    <row r="29" customFormat="false" ht="15" hidden="false" customHeight="false" outlineLevel="0" collapsed="false">
      <c r="B29" s="3" t="s">
        <v>577</v>
      </c>
      <c r="C29" s="3" t="n">
        <v>1.5</v>
      </c>
      <c r="D29" s="3" t="n">
        <v>2</v>
      </c>
      <c r="E29" s="3" t="n">
        <v>2.5</v>
      </c>
      <c r="F29" s="3" t="n">
        <v>3</v>
      </c>
      <c r="G29" s="3" t="s">
        <v>578</v>
      </c>
    </row>
    <row r="30" customFormat="false" ht="15" hidden="false" customHeight="false" outlineLevel="0" collapsed="false">
      <c r="B30" s="37" t="n">
        <v>0</v>
      </c>
      <c r="C30" s="13" t="n">
        <f aca="false">$C$9/(C$29*($C$8-$B30))</f>
        <v>11.0406585607889</v>
      </c>
      <c r="D30" s="13" t="n">
        <f aca="false">$C$9/(D$29*($C$8-$B30))</f>
        <v>8.28049392059167</v>
      </c>
      <c r="E30" s="13" t="n">
        <f aca="false">$C$9/(E$29*($C$8-$B30))</f>
        <v>6.62439513647334</v>
      </c>
      <c r="F30" s="13" t="n">
        <f aca="false">$C$9/(F$29*($C$8-$B30))</f>
        <v>5.52032928039445</v>
      </c>
      <c r="G30" s="13" t="n">
        <f aca="false">$C$8-B30</f>
        <v>0.953319742642753</v>
      </c>
    </row>
    <row r="31" customFormat="false" ht="15" hidden="false" customHeight="false" outlineLevel="0" collapsed="false">
      <c r="B31" s="37" t="n">
        <v>-0.5</v>
      </c>
      <c r="C31" s="13" t="n">
        <f aca="false">$C$9/(C$29*($C$8-$B31))</f>
        <v>7.2422313335112</v>
      </c>
      <c r="D31" s="13" t="n">
        <f aca="false">$C$9/(D$29*($C$8-$B31))</f>
        <v>5.4316735001334</v>
      </c>
      <c r="E31" s="13" t="n">
        <f aca="false">$C$9/(E$29*($C$8-$B31))</f>
        <v>4.34533880010672</v>
      </c>
      <c r="F31" s="13" t="n">
        <f aca="false">$C$9/(F$29*($C$8-$B31))</f>
        <v>3.6211156667556</v>
      </c>
      <c r="G31" s="13" t="n">
        <f aca="false">$C$8-B31</f>
        <v>1.45331974264275</v>
      </c>
    </row>
    <row r="32" customFormat="false" ht="15" hidden="false" customHeight="false" outlineLevel="0" collapsed="false">
      <c r="B32" s="37" t="n">
        <v>-1</v>
      </c>
      <c r="C32" s="13" t="n">
        <f aca="false">$C$9/(C$29*($C$8-$B32))</f>
        <v>5.3884049538851</v>
      </c>
      <c r="D32" s="13" t="n">
        <f aca="false">$C$9/(D$29*($C$8-$B32))</f>
        <v>4.04130371541382</v>
      </c>
      <c r="E32" s="13" t="n">
        <f aca="false">$C$9/(E$29*($C$8-$B32))</f>
        <v>3.23304297233106</v>
      </c>
      <c r="F32" s="13" t="n">
        <f aca="false">$C$9/(F$29*($C$8-$B32))</f>
        <v>2.69420247694255</v>
      </c>
      <c r="G32" s="13" t="n">
        <f aca="false">$C$8-B32</f>
        <v>1.95331974264275</v>
      </c>
    </row>
    <row r="33" customFormat="false" ht="15" hidden="false" customHeight="false" outlineLevel="0" collapsed="false">
      <c r="B33" s="37" t="n">
        <v>-1.5</v>
      </c>
      <c r="C33" s="13" t="n">
        <f aca="false">$C$9/(C$29*($C$8-$B33))</f>
        <v>4.29021851283021</v>
      </c>
      <c r="D33" s="13" t="n">
        <f aca="false">$C$9/(D$29*($C$8-$B33))</f>
        <v>3.21766388462266</v>
      </c>
      <c r="E33" s="13" t="n">
        <f aca="false">$C$9/(E$29*($C$8-$B33))</f>
        <v>2.57413110769812</v>
      </c>
      <c r="F33" s="13" t="n">
        <f aca="false">$C$9/(F$29*($C$8-$B33))</f>
        <v>2.1451092564151</v>
      </c>
      <c r="G33" s="13" t="n">
        <f aca="false">$C$8-B33</f>
        <v>2.45331974264275</v>
      </c>
    </row>
    <row r="34" customFormat="false" ht="15" hidden="false" customHeight="false" outlineLevel="0" collapsed="false">
      <c r="B34" s="37" t="n">
        <v>-2</v>
      </c>
      <c r="C34" s="13" t="n">
        <f aca="false">$C$9/(C$29*($C$8-$B34))</f>
        <v>3.56388020768768</v>
      </c>
      <c r="D34" s="13" t="n">
        <f aca="false">$C$9/(D$29*($C$8-$B34))</f>
        <v>2.67291015576576</v>
      </c>
      <c r="E34" s="13" t="n">
        <f aca="false">$C$9/(E$29*($C$8-$B34))</f>
        <v>2.13832812461261</v>
      </c>
      <c r="F34" s="13" t="n">
        <f aca="false">$C$9/(F$29*($C$8-$B34))</f>
        <v>1.78194010384384</v>
      </c>
      <c r="G34" s="13" t="n">
        <f aca="false">$C$8-B34</f>
        <v>2.95331974264275</v>
      </c>
    </row>
    <row r="36" customFormat="false" ht="15" hidden="false" customHeight="false" outlineLevel="0" collapsed="false">
      <c r="B36" s="23" t="s">
        <v>579</v>
      </c>
    </row>
    <row r="37" customFormat="false" ht="15" hidden="false" customHeight="false" outlineLevel="0" collapsed="false">
      <c r="B37" s="23" t="s">
        <v>580</v>
      </c>
    </row>
    <row r="38" customFormat="false" ht="15" hidden="false" customHeight="false" outlineLevel="0" collapsed="false">
      <c r="B38" s="23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2026-10-31T03:50:15Z</dcterms:created>
  <dc:creator>openpyxl</dc:creator>
  <dc:description/>
  <dc:language>en-US</dc:language>
  <cp:lastModifiedBy/>
  <dcterms:modified xsi:type="dcterms:W3CDTF">2026-10-31T03:50:15Z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