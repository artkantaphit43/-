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ช่องโชว์น้ำ" sheetId="3" state="visible" r:id="rId5"/>
    <sheet name="4 ระดับ" sheetId="4" state="visible" r:id="rId6"/>
    <sheet name="5 ตาราง h-Q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ค่าจากใบเสนอราคา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FreeSans"/>
            <family val="2"/>
          </rPr>
          <t xml:space="preserve">ระบบเดิน </t>
        </r>
        <r>
          <rPr>
            <sz val="10"/>
            <rFont val="Arial"/>
            <family val="2"/>
          </rPr>
          <t xml:space="preserve">50–100 m³/h</t>
        </r>
      </text>
    </comment>
  </commentList>
</comments>
</file>

<file path=xl/sharedStrings.xml><?xml version="1.0" encoding="utf-8"?>
<sst xmlns="http://schemas.openxmlformats.org/spreadsheetml/2006/main" count="166" uniqueCount="143">
  <si>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</si>
  <si>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2–5 จะคำนวณใหม่ให้เอง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</si>
  <si>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</si>
  <si>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</si>
  <si>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</si>
  <si>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</si>
  <si>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</si>
  <si>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</si>
  <si>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</si>
  <si>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</si>
  <si>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</si>
  <si>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</si>
  <si>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</si>
  <si>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</si>
  <si>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ความกว้างภายในบ่อ (B)</t>
  </si>
  <si>
    <t xml:space="preserve">m</t>
  </si>
  <si>
    <t xml:space="preserve">เกณฑ์ ≥ 0.90 m และ h/B ≤ 0.2</t>
  </si>
  <si>
    <t xml:space="preserve">ความสูงยอด V จากพื้นบ่อ (P)</t>
  </si>
  <si>
    <t xml:space="preserve">เกณฑ์ ≥ 0.45 m และ h/P ≤ 0.4</t>
  </si>
  <si>
    <t xml:space="preserve">ความลึกร่อง V</t>
  </si>
  <si>
    <t xml:space="preserve">เกณฑ์ ≥ hmax + 0.08 m</t>
  </si>
  <si>
    <t xml:space="preserve">ความยาวช่วงตรงหน้าเวียร์</t>
  </si>
  <si>
    <t xml:space="preserve">เกณฑ์ ≥ 10 × hmax</t>
  </si>
  <si>
    <t xml:space="preserve">ระยะจุดวัด h เหนือแผ่นเวียร์</t>
  </si>
  <si>
    <t xml:space="preserve">เกณฑ์ 4–5 × hmax</t>
  </si>
  <si>
    <t xml:space="preserve">ระดับผิวพื้นยก ช่อง 2</t>
  </si>
  <si>
    <t xml:space="preserve">วัดจากพื้นบ่อ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</si>
  <si>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</si>
  <si>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</si>
  <si>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น้ำเข้าเฉลี่ย (= น้ำต่อวัน ÷ 24)</t>
  </si>
  <si>
    <t xml:space="preserve">คำนวณให้</t>
  </si>
  <si>
    <t xml:space="preserve">ค่าคงที่ (ไม่ต้องแก้)</t>
  </si>
  <si>
    <t xml:space="preserve">ความเร่งโน้มถ่วง (g)</t>
  </si>
  <si>
    <t xml:space="preserve">m/s²</t>
  </si>
  <si>
    <t xml:space="preserve">ค่าคงที่ V-notch 90° กรมควบคุมมลพิษ</t>
  </si>
  <si>
    <t xml:space="preserve">-</t>
  </si>
  <si>
    <t xml:space="preserve">สูตรหลัก: Q = 1.38 × H^2.5 (Thomson)</t>
  </si>
  <si>
    <t xml:space="preserve">สัมประสิทธิ์อัตราไหล V-notch 90° (Ce)</t>
  </si>
  <si>
    <t xml:space="preserve">ใช้เทียบ: ISO 1438 (Kindsvater–Shen)</t>
  </si>
  <si>
    <t xml:space="preserve">ค่าปรับความสูงน้ำ V-notch 90° (kh)</t>
  </si>
  <si>
    <t xml:space="preserve">ใช้เทียบ: ISO 1438</t>
  </si>
  <si>
    <t xml:space="preserve">สัมประสิทธิ์สันปลายตรง (Francis)</t>
  </si>
  <si>
    <t xml:space="preserve">Q = 1.84 · B · H^1.5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</si>
  <si>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</si>
  <si>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</si>
  <si>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</si>
  <si>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</si>
  <si>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</si>
  <si>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16.1</t>
  </si>
  <si>
    <t xml:space="preserve">ผลลัพธ์สำคัญ</t>
  </si>
  <si>
    <t xml:space="preserve">ตัวเลขสีดำ</t>
  </si>
  <si>
    <t xml:space="preserve">0.014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</si>
  <si>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</si>
  <si>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</si>
  <si>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</si>
  <si>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</si>
  <si>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</si>
  <si>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</si>
  <si>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</si>
  <si>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</si>
  <si>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</si>
  <si>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</si>
  <si>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</si>
  <si>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</si>
  <si>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</si>
  <si>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</si>
  <si>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</si>
  <si>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ระดับน้ำ ช่อง 3
(m จากพื้น)
= P + H กรมฯ</t>
  </si>
  <si>
    <t xml:space="preserve">น้ำเข้าต่ำสุด ปั๊มเดิน</t>
  </si>
  <si>
    <t xml:space="preserve">น้ำเข้าเฉลี่ย ปั๊มเดิน</t>
  </si>
  <si>
    <t xml:space="preserve">น้ำเข้าสูงสุด ปั๊มเดิน</t>
  </si>
  <si>
    <t xml:space="preserve">น้ำเข้าสูงสุด ปั๊มหยุด (ใช้ออกแบบ)</t>
  </si>
  <si>
    <t xml:space="preserve">ขั้นที่ 3  ตรวจสอบเกณฑ์ ISO 1438 (ใช้ H กรมฯ, hmax = กรณีสุดท้าย)</t>
  </si>
  <si>
    <t xml:space="preserve">รายการตรวจ</t>
  </si>
  <si>
    <t xml:space="preserve">เกณฑ์</t>
  </si>
  <si>
    <t xml:space="preserve">ค่าที่ได้</t>
  </si>
  <si>
    <t xml:space="preserve">ผล</t>
  </si>
  <si>
    <t xml:space="preserve">H ต่ำสุด ≥ 0.05 m (ต่ำกว่านี้วัดไม่แม่น)</t>
  </si>
  <si>
    <t xml:space="preserve">≥ 0.05 m</t>
  </si>
  <si>
    <t xml:space="preserve">Hmax ≤ 0.38 m</t>
  </si>
  <si>
    <t xml:space="preserve">≤ 0.38 m</t>
  </si>
  <si>
    <t xml:space="preserve">H / P</t>
  </si>
  <si>
    <t xml:space="preserve">≤ 0.4</t>
  </si>
  <si>
    <t xml:space="preserve">H / B</t>
  </si>
  <si>
    <t xml:space="preserve">≤ 0.2</t>
  </si>
  <si>
    <t xml:space="preserve">P</t>
  </si>
  <si>
    <t xml:space="preserve">≥ 0.45 m</t>
  </si>
  <si>
    <t xml:space="preserve">B</t>
  </si>
  <si>
    <t xml:space="preserve">≥ 0.90 m</t>
  </si>
  <si>
    <t xml:space="preserve">ร่อง V ลึกกว่า Hmax อย่างน้อย (m)</t>
  </si>
  <si>
    <t xml:space="preserve">≥ 0.08 m</t>
  </si>
  <si>
    <t xml:space="preserve">ช่วงตรงหน้าเวียร์ ÷ Hmax</t>
  </si>
  <si>
    <t xml:space="preserve">≥ 10 เท่า</t>
  </si>
  <si>
    <t xml:space="preserve">ระยะจุดวัด H ÷ Hmax</t>
  </si>
  <si>
    <t xml:space="preserve">4–5 เท่า</t>
  </si>
  <si>
    <t xml:space="preserve">ทำไม 2 สูตรต่างกัน</t>
  </si>
  <si>
    <t xml:space="preserve">• ทั้งคู่มาจาก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</si>
  <si>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</si>
  <si>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 (H 14–21 cm) ต่างกันไม่ถึง 0.5% — รายงานราชการให้ใช้สูตรกรมฯ</t>
  </si>
  <si>
    <t xml:space="preserve">3) ช่อง 2 โชว์น้ำใส — ชั้นน้ำบนพื้นยกหนาเท่าไร</t>
  </si>
  <si>
    <t xml:space="preserve">สันปลาย:  Q = 1.84 × B × H^1.5  →  H = (Q ÷ (1.84 × B))^(2/3)   |   ความลึก = สันปลาย + H   |   Froude = v ÷ √(g × ลึก) 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</si>
  <si>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</si>
  <si>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</si>
  <si>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</si>
  <si>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</si>
  <si>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</si>
  <si>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</si>
  <si>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</si>
  <si>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อ่านผลอย่างไร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</si>
  <si>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</si>
  <si>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</si>
  <si>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หรือเพิ่มความกว้าง B — แต่ Froude จะสูงขึ้น ให้ดูคอลัมน์ 'ผิวน้ำ' ประกอบ</t>
  </si>
  <si>
    <t xml:space="preserve">4) ระดับต่าง ๆ ของบ่อ (พื้นบ่อ = ±0.000 m)</t>
  </si>
  <si>
    <t xml:space="preserve">คำนวณที่น้ำเข้าสูงสุด ปั๊มหยุด (กรณีน้ำสูงที่สุด)</t>
  </si>
  <si>
    <t xml:space="preserve">ระดับ</t>
  </si>
  <si>
    <t xml:space="preserve">คิดจาก</t>
  </si>
  <si>
    <t xml:space="preserve">สันกำแพง</t>
  </si>
  <si>
    <t xml:space="preserve">น้ำช่อง 1 + เผื่อ 0.20 m</t>
  </si>
  <si>
    <t xml:space="preserve">น้ำ ช่อง 1 (โดยประมาณ)</t>
  </si>
  <si>
    <t xml:space="preserve">พื้นยก + ชั้นน้ำ + การสูญเสียทางเข้า 1.5·v²/2g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</si>
  <si>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</si>
  <si>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</si>
  <si>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</si>
  <si>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ชีต 1</t>
  </si>
  <si>
    <t xml:space="preserve">ขอบบนร่อง V</t>
  </si>
  <si>
    <t xml:space="preserve">P + ความลึกร่อง</t>
  </si>
  <si>
    <t xml:space="preserve">น้ำ ช่อง 3 สูงสุด</t>
  </si>
  <si>
    <t xml:space="preserve">P + Hmax (สูตรกรมฯ)</t>
  </si>
  <si>
    <t xml:space="preserve">ยอด V (h = 0)</t>
  </si>
  <si>
    <t xml:space="preserve">น้ำท้ายเวียร์ต้องไม่เกิน</t>
  </si>
  <si>
    <t xml:space="preserve">ต่ำกว่ายอด V อย่างน้อย 6 cm</t>
  </si>
  <si>
    <t xml:space="preserve">พื้นบ่อ</t>
  </si>
  <si>
    <t xml:space="preserve">ตรวจสอบ</t>
  </si>
  <si>
    <t xml:space="preserve">สันปลายช่อง 2 สูงกว่าน้ำช่อง 3 (m)</t>
  </si>
  <si>
    <t xml:space="preserve">สันกำแพงสูงกว่าน้ำช่อง 1 (m)</t>
  </si>
  <si>
    <t xml:space="preserve">5)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</si>
  <si>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</si>
  <si>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</si>
  <si>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</si>
  <si>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</si>
  <si>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
= กรมฯ ÷ ISO − 1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</si>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</sst>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0"/>
    <numFmt numFmtId="167" formatCode="0.0"/>
    <numFmt numFmtId="168" formatCode="0.000"/>
    <numFmt numFmtId="169" formatCode="0.00000"/>
    <numFmt numFmtId="170" formatCode="0.0000"/>
    <numFmt numFmtId="171" formatCode="\+0.00;\-0.00;0.00"/>
    <numFmt numFmtId="172" formatCode="\+0.000;\-0.000;\±0.000"/>
    <numFmt numFmtId="173" formatCode="0"/>
    <numFmt numFmtId="174" formatCode="\+0.0%;\-0.0%;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46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 t="n">
        <v>1507</v>
      </c>
      <c r="D5" s="4" t="s">
        <v>7</v>
      </c>
      <c r="E5" s="4" t="s">
        <v>8</v>
      </c>
    </row>
    <row r="6" customFormat="false" ht="15" hidden="false" customHeight="false" outlineLevel="0" collapsed="false">
      <c r="B6" s="4" t="s">
        <v>9</v>
      </c>
      <c r="C6" s="5" t="n">
        <v>50</v>
      </c>
      <c r="D6" s="4" t="s">
        <v>10</v>
      </c>
      <c r="E6" s="4" t="s">
        <v>11</v>
      </c>
    </row>
    <row r="7" customFormat="false" ht="15" hidden="false" customHeight="false" outlineLevel="0" collapsed="false">
      <c r="B7" s="4" t="s">
        <v>12</v>
      </c>
      <c r="C7" s="5" t="n">
        <v>100</v>
      </c>
      <c r="D7" s="4" t="s">
        <v>10</v>
      </c>
      <c r="E7" s="4" t="s">
        <v>11</v>
      </c>
    </row>
    <row r="8" customFormat="false" ht="15" hidden="false" customHeight="false" outlineLevel="0" collapsed="false">
      <c r="B8" s="4" t="s">
        <v>13</v>
      </c>
      <c r="C8" s="5" t="n">
        <v>10</v>
      </c>
      <c r="D8" s="4" t="s">
        <v>10</v>
      </c>
      <c r="E8" s="4" t="s">
        <v>8</v>
      </c>
    </row>
    <row r="9" customFormat="false" ht="15" hidden="false" customHeight="false" outlineLevel="0" collapsed="false">
      <c r="B9" s="4" t="s">
        <v>14</v>
      </c>
      <c r="C9" s="6" t="n">
        <v>1.2</v>
      </c>
      <c r="D9" s="4" t="s">
        <v>15</v>
      </c>
      <c r="E9" s="4" t="s">
        <v>16</v>
      </c>
    </row>
    <row r="10" customFormat="false" ht="15" hidden="false" customHeight="false" outlineLevel="0" collapsed="false">
      <c r="B10" s="4" t="s">
        <v>17</v>
      </c>
      <c r="C10" s="6" t="n">
        <v>0.6</v>
      </c>
      <c r="D10" s="4" t="s">
        <v>15</v>
      </c>
      <c r="E10" s="4" t="s">
        <v>18</v>
      </c>
    </row>
    <row r="11" customFormat="false" ht="15" hidden="false" customHeight="false" outlineLevel="0" collapsed="false">
      <c r="B11" s="4" t="s">
        <v>19</v>
      </c>
      <c r="C11" s="6" t="n">
        <v>0.3</v>
      </c>
      <c r="D11" s="4" t="s">
        <v>15</v>
      </c>
      <c r="E11" s="4" t="s">
        <v>20</v>
      </c>
    </row>
    <row r="12" customFormat="false" ht="15" hidden="false" customHeight="false" outlineLevel="0" collapsed="false">
      <c r="B12" s="4" t="s">
        <v>21</v>
      </c>
      <c r="C12" s="6" t="n">
        <v>2.2</v>
      </c>
      <c r="D12" s="4" t="s">
        <v>15</v>
      </c>
      <c r="E12" s="4" t="s">
        <v>22</v>
      </c>
    </row>
    <row r="13" customFormat="false" ht="15" hidden="false" customHeight="false" outlineLevel="0" collapsed="false">
      <c r="B13" s="4" t="s">
        <v>23</v>
      </c>
      <c r="C13" s="6" t="n">
        <v>1</v>
      </c>
      <c r="D13" s="4" t="s">
        <v>15</v>
      </c>
      <c r="E13" s="4" t="s">
        <v>24</v>
      </c>
    </row>
    <row r="14" customFormat="false" ht="15" hidden="false" customHeight="false" outlineLevel="0" collapsed="false">
      <c r="B14" s="4" t="s">
        <v>25</v>
      </c>
      <c r="C14" s="6" t="n">
        <v>0.9</v>
      </c>
      <c r="D14" s="4" t="s">
        <v>15</v>
      </c>
      <c r="E14" s="4" t="s">
        <v>26</v>
      </c>
    </row>
    <row r="15" customFormat="false" ht="15" hidden="false" customHeight="false" outlineLevel="0" collapsed="false">
      <c r="B15" s="4" t="s">
        <v>27</v>
      </c>
      <c r="C15" s="6" t="n">
        <v>0.02</v>
      </c>
      <c r="D15" s="4" t="s">
        <v>15</v>
      </c>
      <c r="E15" s="4" t="s">
        <v>28</v>
      </c>
    </row>
    <row r="16" customFormat="false" ht="15" hidden="false" customHeight="false" outlineLevel="0" collapsed="false">
      <c r="B16" s="4" t="s">
        <v>29</v>
      </c>
      <c r="C16" s="7" t="n">
        <f aca="false">'1 ข้อมูล'!$C$5/24</f>
        <v>62.7916666666667</v>
      </c>
      <c r="D16" s="4" t="s">
        <v>10</v>
      </c>
      <c r="E16" s="4" t="s">
        <v>30</v>
      </c>
    </row>
    <row r="18" customFormat="false" ht="15" hidden="false" customHeight="false" outlineLevel="0" collapsed="false">
      <c r="B18" s="8" t="s">
        <v>31</v>
      </c>
      <c r="C18" s="9"/>
      <c r="D18" s="9"/>
      <c r="E18" s="9"/>
    </row>
    <row r="19" customFormat="false" ht="15" hidden="false" customHeight="false" outlineLevel="0" collapsed="false">
      <c r="B19" s="4" t="s">
        <v>32</v>
      </c>
      <c r="C19" s="10" t="n">
        <v>9.81</v>
      </c>
      <c r="D19" s="4" t="s">
        <v>33</v>
      </c>
      <c r="E19" s="4"/>
    </row>
    <row r="20" customFormat="false" ht="15" hidden="false" customHeight="false" outlineLevel="0" collapsed="false">
      <c r="B20" s="4" t="s">
        <v>34</v>
      </c>
      <c r="C20" s="10" t="n">
        <v>1.38</v>
      </c>
      <c r="D20" s="4" t="s">
        <v>35</v>
      </c>
      <c r="E20" s="4" t="s">
        <v>36</v>
      </c>
    </row>
    <row r="21" customFormat="false" ht="15" hidden="false" customHeight="false" outlineLevel="0" collapsed="false">
      <c r="B21" s="4" t="s">
        <v>37</v>
      </c>
      <c r="C21" s="10" t="n">
        <v>0.578</v>
      </c>
      <c r="D21" s="4" t="s">
        <v>35</v>
      </c>
      <c r="E21" s="4" t="s">
        <v>38</v>
      </c>
    </row>
    <row r="22" customFormat="false" ht="15" hidden="false" customHeight="false" outlineLevel="0" collapsed="false">
      <c r="B22" s="4" t="s">
        <v>39</v>
      </c>
      <c r="C22" s="11" t="n">
        <v>0.00085</v>
      </c>
      <c r="D22" s="4" t="s">
        <v>15</v>
      </c>
      <c r="E22" s="4" t="s">
        <v>40</v>
      </c>
    </row>
    <row r="23" customFormat="false" ht="15" hidden="false" customHeight="false" outlineLevel="0" collapsed="false">
      <c r="B23" s="4" t="s">
        <v>41</v>
      </c>
      <c r="C23" s="10" t="n">
        <v>1.84</v>
      </c>
      <c r="D23" s="4" t="s">
        <v>35</v>
      </c>
      <c r="E23" s="4" t="s">
        <v>42</v>
      </c>
    </row>
    <row r="25" customFormat="false" ht="15" hidden="false" customHeight="false" outlineLevel="0" collapsed="false">
      <c r="B25" s="8" t="s">
        <v>43</v>
      </c>
      <c r="C25" s="9"/>
      <c r="D25" s="9"/>
      <c r="E25" s="9"/>
    </row>
    <row r="26" customFormat="false" ht="15" hidden="false" customHeight="false" outlineLevel="0" collapsed="false">
      <c r="B26" s="4" t="s">
        <v>44</v>
      </c>
      <c r="C26" s="12" t="s">
        <v>45</v>
      </c>
      <c r="D26" s="4"/>
      <c r="E26" s="4" t="s">
        <v>46</v>
      </c>
    </row>
    <row r="27" customFormat="false" ht="15" hidden="false" customHeight="false" outlineLevel="0" collapsed="false">
      <c r="B27" s="4" t="s">
        <v>47</v>
      </c>
      <c r="C27" s="13" t="s">
        <v>48</v>
      </c>
      <c r="D27" s="4"/>
      <c r="E27" s="4" t="s">
        <v>49</v>
      </c>
    </row>
    <row r="28" customFormat="false" ht="15" hidden="false" customHeight="false" outlineLevel="0" collapsed="false">
      <c r="B28" s="4" t="s">
        <v>50</v>
      </c>
      <c r="C28" s="4" t="s">
        <v>51</v>
      </c>
      <c r="D28" s="4"/>
      <c r="E28" s="4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18.65" hidden="false" customHeight="false" outlineLevel="0" collapsed="false">
      <c r="B1" s="1" t="s">
        <v>53</v>
      </c>
    </row>
    <row r="2" customFormat="false" ht="15" hidden="false" customHeight="false" outlineLevel="0" collapsed="false">
      <c r="B2" s="2" t="s">
        <v>54</v>
      </c>
    </row>
    <row r="4" customFormat="false" ht="15" hidden="false" customHeight="false" outlineLevel="0" collapsed="false">
      <c r="B4" s="8" t="s">
        <v>55</v>
      </c>
      <c r="C4" s="9"/>
      <c r="D4" s="9"/>
      <c r="E4" s="9"/>
      <c r="F4" s="9"/>
      <c r="G4" s="9"/>
      <c r="H4" s="9"/>
    </row>
    <row r="5" customFormat="false" ht="15" hidden="false" customHeight="false" outlineLevel="0" collapsed="false">
      <c r="B5" s="4" t="s">
        <v>56</v>
      </c>
      <c r="C5" s="10" t="n">
        <f aca="false">'1 ข้อมูล'!$C$20</f>
        <v>1.38</v>
      </c>
      <c r="D5" s="4" t="s">
        <v>35</v>
      </c>
      <c r="E5" s="4" t="s">
        <v>57</v>
      </c>
      <c r="F5" s="4"/>
      <c r="G5" s="4"/>
      <c r="H5" s="4"/>
    </row>
    <row r="6" customFormat="false" ht="26.85" hidden="false" customHeight="false" outlineLevel="0" collapsed="false">
      <c r="B6" s="4" t="s">
        <v>58</v>
      </c>
      <c r="C6" s="14" t="n">
        <f aca="false">'1 ข้อมูล'!$C$21*(8/15)*SQRT(2*'1 ข้อมูล'!$C$19)</f>
        <v>1.36545083661038</v>
      </c>
      <c r="D6" s="4" t="s">
        <v>35</v>
      </c>
      <c r="E6" s="4" t="s">
        <v>59</v>
      </c>
      <c r="F6" s="4"/>
      <c r="G6" s="4"/>
      <c r="H6" s="4"/>
    </row>
    <row r="8" customFormat="false" ht="15" hidden="false" customHeight="false" outlineLevel="0" collapsed="false">
      <c r="B8" s="8" t="s">
        <v>60</v>
      </c>
      <c r="C8" s="9"/>
      <c r="D8" s="9"/>
      <c r="E8" s="9"/>
      <c r="F8" s="9"/>
      <c r="G8" s="9"/>
      <c r="H8" s="9"/>
    </row>
    <row r="9" customFormat="false" ht="57.75" hidden="false" customHeight="true" outlineLevel="0" collapsed="false">
      <c r="B9" s="3" t="s">
        <v>61</v>
      </c>
      <c r="C9" s="3" t="s">
        <v>62</v>
      </c>
      <c r="D9" s="3" t="s">
        <v>63</v>
      </c>
      <c r="E9" s="3" t="s">
        <v>64</v>
      </c>
      <c r="F9" s="3" t="s">
        <v>65</v>
      </c>
      <c r="G9" s="3" t="s">
        <v>66</v>
      </c>
      <c r="H9" s="3" t="s">
        <v>67</v>
      </c>
    </row>
    <row r="10" customFormat="false" ht="15" hidden="false" customHeight="false" outlineLevel="0" collapsed="false">
      <c r="B10" s="4" t="s">
        <v>68</v>
      </c>
      <c r="C10" s="7" t="n">
        <f aca="false">'1 ข้อมูล'!$C$6-'1 ข้อมูล'!$C$8</f>
        <v>40</v>
      </c>
      <c r="D10" s="11" t="n">
        <f aca="false">C10/3600</f>
        <v>0.0111111111111111</v>
      </c>
      <c r="E10" s="15" t="n">
        <f aca="false">(D10/'2 เวียร์'!$C$5)^0.4*100</f>
        <v>14.532869095236</v>
      </c>
      <c r="F10" s="7" t="n">
        <f aca="false">((D10/'2 เวียร์'!$C$6)^0.4-'1 ข้อมูล'!$C$22)*100</f>
        <v>14.5096125168743</v>
      </c>
      <c r="G10" s="16" t="n">
        <f aca="false">E10-F10</f>
        <v>0.0232565783616678</v>
      </c>
      <c r="H10" s="17" t="n">
        <f aca="false">'1 ข้อมูล'!$C$10+E10/100</f>
        <v>0.74532869095236</v>
      </c>
    </row>
    <row r="11" customFormat="false" ht="15" hidden="false" customHeight="false" outlineLevel="0" collapsed="false">
      <c r="B11" s="4" t="s">
        <v>69</v>
      </c>
      <c r="C11" s="7" t="n">
        <f aca="false">'1 ข้อมูล'!$C$16-'1 ข้อมูล'!$C$8</f>
        <v>52.7916666666667</v>
      </c>
      <c r="D11" s="11" t="n">
        <f aca="false">C11/3600</f>
        <v>0.0146643518518519</v>
      </c>
      <c r="E11" s="15" t="n">
        <f aca="false">(D11/'2 เวียร์'!$C$5)^0.4*100</f>
        <v>16.2387843483091</v>
      </c>
      <c r="F11" s="7" t="n">
        <f aca="false">((D11/'2 เวียร์'!$C$6)^0.4-'1 ข้อมูล'!$C$22)*100</f>
        <v>16.2227754127948</v>
      </c>
      <c r="G11" s="16" t="n">
        <f aca="false">E11-F11</f>
        <v>0.0160089355143072</v>
      </c>
      <c r="H11" s="17" t="n">
        <f aca="false">'1 ข้อมูล'!$C$10+E11/100</f>
        <v>0.762387843483091</v>
      </c>
    </row>
    <row r="12" customFormat="false" ht="15" hidden="false" customHeight="false" outlineLevel="0" collapsed="false">
      <c r="B12" s="4" t="s">
        <v>70</v>
      </c>
      <c r="C12" s="7" t="n">
        <f aca="false">'1 ข้อมูล'!$C$7-'1 ข้อมูล'!$C$8</f>
        <v>90</v>
      </c>
      <c r="D12" s="11" t="n">
        <f aca="false">C12/3600</f>
        <v>0.025</v>
      </c>
      <c r="E12" s="15" t="n">
        <f aca="false">(D12/'2 เวียร์'!$C$5)^0.4*100</f>
        <v>20.1013103538681</v>
      </c>
      <c r="F12" s="7" t="n">
        <f aca="false">((D12/'2 เวียร์'!$C$6)^0.4-'1 ข้อมูล'!$C$22)*100</f>
        <v>20.1017115002301</v>
      </c>
      <c r="G12" s="16" t="n">
        <f aca="false">E12-F12</f>
        <v>-0.000401146361987514</v>
      </c>
      <c r="H12" s="17" t="n">
        <f aca="false">'1 ข้อมูล'!$C$10+E12/100</f>
        <v>0.801013103538681</v>
      </c>
    </row>
    <row r="13" customFormat="false" ht="15" hidden="false" customHeight="false" outlineLevel="0" collapsed="false">
      <c r="B13" s="18" t="s">
        <v>71</v>
      </c>
      <c r="C13" s="7" t="n">
        <f aca="false">'1 ข้อมูล'!$C$7</f>
        <v>100</v>
      </c>
      <c r="D13" s="11" t="n">
        <f aca="false">C13/3600</f>
        <v>0.0277777777777778</v>
      </c>
      <c r="E13" s="15" t="n">
        <f aca="false">(D13/'2 เวียร์'!$C$5)^0.4*100</f>
        <v>20.9665688762588</v>
      </c>
      <c r="F13" s="7" t="n">
        <f aca="false">((D13/'2 เวียร์'!$C$6)^0.4-'1 ข้อมูล'!$C$22)*100</f>
        <v>20.9706461048468</v>
      </c>
      <c r="G13" s="16" t="n">
        <f aca="false">E13-F13</f>
        <v>-0.00407722858800952</v>
      </c>
      <c r="H13" s="17" t="n">
        <f aca="false">'1 ข้อมูล'!$C$10+E13/100</f>
        <v>0.809665688762588</v>
      </c>
    </row>
    <row r="15" customFormat="false" ht="15" hidden="false" customHeight="false" outlineLevel="0" collapsed="false">
      <c r="B15" s="8" t="s">
        <v>72</v>
      </c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B16" s="3" t="s">
        <v>73</v>
      </c>
      <c r="C16" s="3" t="s">
        <v>74</v>
      </c>
      <c r="D16" s="3" t="s">
        <v>75</v>
      </c>
      <c r="E16" s="3" t="s">
        <v>76</v>
      </c>
      <c r="F16" s="3"/>
      <c r="G16" s="3"/>
      <c r="H16" s="3"/>
    </row>
    <row r="17" customFormat="false" ht="15" hidden="false" customHeight="false" outlineLevel="0" collapsed="false">
      <c r="B17" s="4" t="s">
        <v>77</v>
      </c>
      <c r="C17" s="4" t="s">
        <v>78</v>
      </c>
      <c r="D17" s="10" t="n">
        <f aca="false">E10/100</f>
        <v>0.14532869095236</v>
      </c>
      <c r="E17" s="13" t="str">
        <f aca="false">IF(D17&gt;=0.05,"ผ่าน ✔","ไม่ผ่าน ✘")</f>
        <v>ผ่าน ✔</v>
      </c>
      <c r="F17" s="4"/>
      <c r="G17" s="4"/>
      <c r="H17" s="4"/>
    </row>
    <row r="18" customFormat="false" ht="15" hidden="false" customHeight="false" outlineLevel="0" collapsed="false">
      <c r="B18" s="4" t="s">
        <v>79</v>
      </c>
      <c r="C18" s="4" t="s">
        <v>80</v>
      </c>
      <c r="D18" s="10" t="n">
        <f aca="false">E13/100</f>
        <v>0.209665688762588</v>
      </c>
      <c r="E18" s="13" t="str">
        <f aca="false">IF(D18&lt;=0.38,"ผ่าน ✔","ไม่ผ่าน ✘")</f>
        <v>ผ่าน ✔</v>
      </c>
      <c r="F18" s="4"/>
      <c r="G18" s="4"/>
      <c r="H18" s="4"/>
    </row>
    <row r="19" customFormat="false" ht="15" hidden="false" customHeight="false" outlineLevel="0" collapsed="false">
      <c r="B19" s="4" t="s">
        <v>81</v>
      </c>
      <c r="C19" s="4" t="s">
        <v>82</v>
      </c>
      <c r="D19" s="19" t="n">
        <f aca="false">E13/100/'1 ข้อมูล'!$C$10</f>
        <v>0.349442814604313</v>
      </c>
      <c r="E19" s="13" t="str">
        <f aca="false">IF(D19&lt;=0.4,"ผ่าน ✔","ไม่ผ่าน ✘")</f>
        <v>ผ่าน ✔</v>
      </c>
      <c r="F19" s="4"/>
      <c r="G19" s="4"/>
      <c r="H19" s="4"/>
    </row>
    <row r="20" customFormat="false" ht="15" hidden="false" customHeight="false" outlineLevel="0" collapsed="false">
      <c r="B20" s="4" t="s">
        <v>83</v>
      </c>
      <c r="C20" s="4" t="s">
        <v>84</v>
      </c>
      <c r="D20" s="19" t="n">
        <f aca="false">E13/100/'1 ข้อมูล'!$C$9</f>
        <v>0.174721407302157</v>
      </c>
      <c r="E20" s="13" t="str">
        <f aca="false">IF(D20&lt;=0.2,"ผ่าน ✔","ไม่ผ่าน ✘")</f>
        <v>ผ่าน ✔</v>
      </c>
      <c r="F20" s="4"/>
      <c r="G20" s="4"/>
      <c r="H20" s="4"/>
    </row>
    <row r="21" customFormat="false" ht="15" hidden="false" customHeight="false" outlineLevel="0" collapsed="false">
      <c r="B21" s="4" t="s">
        <v>85</v>
      </c>
      <c r="C21" s="4" t="s">
        <v>86</v>
      </c>
      <c r="D21" s="19" t="n">
        <f aca="false">'1 ข้อมูล'!$C$10</f>
        <v>0.6</v>
      </c>
      <c r="E21" s="13" t="str">
        <f aca="false">IF(D21&gt;=0.45,"ผ่าน ✔","ไม่ผ่าน ✘")</f>
        <v>ผ่าน ✔</v>
      </c>
      <c r="F21" s="4"/>
      <c r="G21" s="4"/>
      <c r="H21" s="4"/>
    </row>
    <row r="22" customFormat="false" ht="15" hidden="false" customHeight="false" outlineLevel="0" collapsed="false">
      <c r="B22" s="4" t="s">
        <v>87</v>
      </c>
      <c r="C22" s="4" t="s">
        <v>88</v>
      </c>
      <c r="D22" s="19" t="n">
        <f aca="false">'1 ข้อมูล'!$C$9</f>
        <v>1.2</v>
      </c>
      <c r="E22" s="13" t="str">
        <f aca="false">IF(D22&gt;=0.9,"ผ่าน ✔","ไม่ผ่าน ✘")</f>
        <v>ผ่าน ✔</v>
      </c>
      <c r="F22" s="4"/>
      <c r="G22" s="4"/>
      <c r="H22" s="4"/>
    </row>
    <row r="23" customFormat="false" ht="15" hidden="false" customHeight="false" outlineLevel="0" collapsed="false">
      <c r="B23" s="4" t="s">
        <v>89</v>
      </c>
      <c r="C23" s="4" t="s">
        <v>90</v>
      </c>
      <c r="D23" s="10" t="n">
        <f aca="false">'1 ข้อมูล'!$C$11-E13/100</f>
        <v>0.0903343112374122</v>
      </c>
      <c r="E23" s="13" t="str">
        <f aca="false">IF(D23&gt;=0.08,"ผ่าน ✔","ไม่ผ่าน ✘")</f>
        <v>ผ่าน ✔</v>
      </c>
      <c r="F23" s="4"/>
      <c r="G23" s="4"/>
      <c r="H23" s="4"/>
    </row>
    <row r="24" customFormat="false" ht="15" hidden="false" customHeight="false" outlineLevel="0" collapsed="false">
      <c r="B24" s="4" t="s">
        <v>91</v>
      </c>
      <c r="C24" s="4" t="s">
        <v>92</v>
      </c>
      <c r="D24" s="7" t="n">
        <f aca="false">'1 ข้อมูล'!$C$12/(E13/100)</f>
        <v>10.4928947267626</v>
      </c>
      <c r="E24" s="13" t="str">
        <f aca="false">IF(D24&gt;=10,"ผ่าน ✔","ไม่ผ่าน ✘")</f>
        <v>ผ่าน ✔</v>
      </c>
      <c r="F24" s="4"/>
      <c r="G24" s="4"/>
      <c r="H24" s="4"/>
    </row>
    <row r="25" customFormat="false" ht="15" hidden="false" customHeight="false" outlineLevel="0" collapsed="false">
      <c r="B25" s="4" t="s">
        <v>93</v>
      </c>
      <c r="C25" s="4" t="s">
        <v>94</v>
      </c>
      <c r="D25" s="7" t="n">
        <f aca="false">'1 ข้อมูล'!$C$13/(E13/100)</f>
        <v>4.7694976030739</v>
      </c>
      <c r="E25" s="13" t="str">
        <f aca="false">IF(AND(D25&gt;=4,D25&lt;=5),"ผ่าน ✔","ไม่ผ่าน ✘")</f>
        <v>ผ่าน ✔</v>
      </c>
      <c r="F25" s="4"/>
      <c r="G25" s="4"/>
      <c r="H25" s="4"/>
    </row>
    <row r="27" customFormat="false" ht="15" hidden="false" customHeight="false" outlineLevel="0" collapsed="false">
      <c r="B27" s="8" t="s">
        <v>95</v>
      </c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B28" s="20" t="s">
        <v>96</v>
      </c>
    </row>
    <row r="29" customFormat="false" ht="15" hidden="false" customHeight="false" outlineLevel="0" collapsed="false">
      <c r="B29" s="20" t="s">
        <v>97</v>
      </c>
    </row>
    <row r="30" customFormat="false" ht="15" hidden="false" customHeight="false" outlineLevel="0" collapsed="false">
      <c r="B30" s="20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99</v>
      </c>
    </row>
    <row r="2" customFormat="false" ht="15" hidden="false" customHeight="false" outlineLevel="0" collapsed="false">
      <c r="B2" s="2" t="s">
        <v>100</v>
      </c>
    </row>
    <row r="4" customFormat="false" ht="57.75" hidden="false" customHeight="true" outlineLevel="0" collapsed="false">
      <c r="B4" s="3" t="s">
        <v>61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</row>
    <row r="5" customFormat="false" ht="15" hidden="false" customHeight="false" outlineLevel="0" collapsed="false">
      <c r="B5" s="4" t="s">
        <v>68</v>
      </c>
      <c r="C5" s="7" t="n">
        <f aca="false">'1 ข้อมูล'!$C$6-'1 ข้อมูล'!$C$8</f>
        <v>40</v>
      </c>
      <c r="D5" s="11" t="n">
        <f aca="false">C5/3600</f>
        <v>0.0111111111111111</v>
      </c>
      <c r="E5" s="7" t="n">
        <f aca="false">(D5/('1 ข้อมูล'!$C$23*'1 ข้อมูล'!$C$9))^(2/3)*100</f>
        <v>2.93656046563664</v>
      </c>
      <c r="F5" s="15" t="n">
        <f aca="false">'1 ข้อมูล'!$C$15*100+E5</f>
        <v>4.93656046563664</v>
      </c>
      <c r="G5" s="19" t="n">
        <f aca="false">D5/('1 ข้อมูล'!$C$9*F5/100)</f>
        <v>0.187564992340576</v>
      </c>
      <c r="H5" s="19" t="n">
        <f aca="false">G5/SQRT('1 ข้อมูล'!$C$19*F5/100)</f>
        <v>0.269528720442653</v>
      </c>
      <c r="I5" s="13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4" t="s">
        <v>69</v>
      </c>
      <c r="C6" s="7" t="n">
        <f aca="false">'1 ข้อมูล'!$C$16-'1 ข้อมูล'!$C$8</f>
        <v>52.7916666666667</v>
      </c>
      <c r="D6" s="11" t="n">
        <f aca="false">C6/3600</f>
        <v>0.0146643518518519</v>
      </c>
      <c r="E6" s="7" t="n">
        <f aca="false">(D6/('1 ข้อมูล'!$C$23*'1 ข้อมูล'!$C$9))^(2/3)*100</f>
        <v>3.53326221375287</v>
      </c>
      <c r="F6" s="15" t="n">
        <f aca="false">'1 ข้อมูล'!$C$15*100+E6</f>
        <v>5.53326221375287</v>
      </c>
      <c r="G6" s="19" t="n">
        <f aca="false">D6/('1 ข้อมูล'!$C$9*F6/100)</f>
        <v>0.220851511058036</v>
      </c>
      <c r="H6" s="19" t="n">
        <f aca="false">G6/SQRT('1 ข้อมูล'!$C$19*F6/100)</f>
        <v>0.29976108061034</v>
      </c>
      <c r="I6" s="13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4" t="s">
        <v>70</v>
      </c>
      <c r="C7" s="7" t="n">
        <f aca="false">'1 ข้อมูล'!$C$7-'1 ข้อมูล'!$C$8</f>
        <v>90</v>
      </c>
      <c r="D7" s="11" t="n">
        <f aca="false">C7/3600</f>
        <v>0.025</v>
      </c>
      <c r="E7" s="7" t="n">
        <f aca="false">(D7/('1 ข้อมูล'!$C$23*'1 ข้อมูล'!$C$9))^(2/3)*100</f>
        <v>5.04228388369996</v>
      </c>
      <c r="F7" s="15" t="n">
        <f aca="false">'1 ข้อมูล'!$C$15*100+E7</f>
        <v>7.04228388369996</v>
      </c>
      <c r="G7" s="19" t="n">
        <f aca="false">D7/('1 ข้อมูล'!$C$9*F7/100)</f>
        <v>0.295832057857737</v>
      </c>
      <c r="H7" s="19" t="n">
        <f aca="false">G7/SQRT('1 ข้อมูล'!$C$19*F7/100)</f>
        <v>0.35592129002886</v>
      </c>
      <c r="I7" s="13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4" t="s">
        <v>71</v>
      </c>
      <c r="C8" s="7" t="n">
        <f aca="false">'1 ข้อมูล'!$C$7</f>
        <v>100</v>
      </c>
      <c r="D8" s="11" t="n">
        <f aca="false">C8/3600</f>
        <v>0.0277777777777778</v>
      </c>
      <c r="E8" s="7" t="n">
        <f aca="false">(D8/('1 ข้อมูล'!$C$23*'1 ข้อมูล'!$C$9))^(2/3)*100</f>
        <v>5.40919062653374</v>
      </c>
      <c r="F8" s="15" t="n">
        <f aca="false">'1 ข้อมูล'!$C$15*100+E8</f>
        <v>7.40919062653374</v>
      </c>
      <c r="G8" s="19" t="n">
        <f aca="false">D8/('1 ข้อมูล'!$C$9*F8/100)</f>
        <v>0.312424788549105</v>
      </c>
      <c r="H8" s="19" t="n">
        <f aca="false">G8/SQRT('1 ข้อมูล'!$C$19*F8/100)</f>
        <v>0.36645917247664</v>
      </c>
      <c r="I8" s="13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8" t="s">
        <v>108</v>
      </c>
      <c r="C10" s="9"/>
      <c r="D10" s="9"/>
      <c r="E10" s="9"/>
      <c r="F10" s="9"/>
      <c r="G10" s="9"/>
      <c r="H10" s="9"/>
      <c r="I10" s="9"/>
    </row>
    <row r="11" customFormat="false" ht="15" hidden="false" customHeight="false" outlineLevel="0" collapsed="false">
      <c r="B11" s="20" t="s">
        <v>109</v>
      </c>
    </row>
    <row r="12" customFormat="false" ht="15" hidden="false" customHeight="false" outlineLevel="0" collapsed="false">
      <c r="B12" s="20" t="s">
        <v>110</v>
      </c>
    </row>
    <row r="13" customFormat="false" ht="15" hidden="false" customHeight="false" outlineLevel="0" collapsed="false">
      <c r="B13" s="20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46"/>
  </cols>
  <sheetData>
    <row r="1" customFormat="false" ht="18.65" hidden="false" customHeight="false" outlineLevel="0" collapsed="false">
      <c r="B1" s="1" t="s">
        <v>112</v>
      </c>
    </row>
    <row r="2" customFormat="false" ht="15" hidden="false" customHeight="false" outlineLevel="0" collapsed="false">
      <c r="B2" s="2" t="s">
        <v>113</v>
      </c>
    </row>
    <row r="4" customFormat="false" ht="15" hidden="false" customHeight="false" outlineLevel="0" collapsed="false">
      <c r="B4" s="3" t="s">
        <v>114</v>
      </c>
      <c r="C4" s="3" t="s">
        <v>15</v>
      </c>
      <c r="D4" s="3" t="s">
        <v>115</v>
      </c>
    </row>
    <row r="5" customFormat="false" ht="15" hidden="false" customHeight="false" outlineLevel="0" collapsed="false">
      <c r="B5" s="4" t="s">
        <v>116</v>
      </c>
      <c r="C5" s="21" t="n">
        <f aca="false">C6+0.2</f>
        <v>1.18155438703751</v>
      </c>
      <c r="D5" s="4" t="s">
        <v>117</v>
      </c>
    </row>
    <row r="6" customFormat="false" ht="15" hidden="false" customHeight="false" outlineLevel="0" collapsed="false">
      <c r="B6" s="4" t="s">
        <v>118</v>
      </c>
      <c r="C6" s="21" t="n">
        <f aca="false">C8+'3 ช่องโชว์น้ำ'!F8/100+1.5*'3 ช่องโชว์น้ำ'!G8^2/(2*'1 ข้อมูล'!$C$19)</f>
        <v>0.981554387037505</v>
      </c>
      <c r="D6" s="4" t="s">
        <v>119</v>
      </c>
    </row>
    <row r="7" customFormat="false" ht="15" hidden="false" customHeight="false" outlineLevel="0" collapsed="false">
      <c r="B7" s="4" t="s">
        <v>120</v>
      </c>
      <c r="C7" s="21" t="n">
        <f aca="false">C8+'1 ข้อมูล'!$C$15</f>
        <v>0.92</v>
      </c>
      <c r="D7" s="4" t="s">
        <v>121</v>
      </c>
    </row>
    <row r="8" customFormat="false" ht="15" hidden="false" customHeight="false" outlineLevel="0" collapsed="false">
      <c r="B8" s="4" t="s">
        <v>122</v>
      </c>
      <c r="C8" s="21" t="n">
        <f aca="false">'1 ข้อมูล'!$C$14</f>
        <v>0.9</v>
      </c>
      <c r="D8" s="4" t="s">
        <v>123</v>
      </c>
    </row>
    <row r="9" customFormat="false" ht="15" hidden="false" customHeight="false" outlineLevel="0" collapsed="false">
      <c r="B9" s="4" t="s">
        <v>124</v>
      </c>
      <c r="C9" s="21" t="n">
        <f aca="false">'1 ข้อมูล'!$C$10+'1 ข้อมูล'!$C$11</f>
        <v>0.9</v>
      </c>
      <c r="D9" s="4" t="s">
        <v>125</v>
      </c>
    </row>
    <row r="10" customFormat="false" ht="15" hidden="false" customHeight="false" outlineLevel="0" collapsed="false">
      <c r="B10" s="4" t="s">
        <v>126</v>
      </c>
      <c r="C10" s="21" t="n">
        <f aca="false">'2 เวียร์'!H13</f>
        <v>0.809665688762588</v>
      </c>
      <c r="D10" s="4" t="s">
        <v>127</v>
      </c>
    </row>
    <row r="11" customFormat="false" ht="15" hidden="false" customHeight="false" outlineLevel="0" collapsed="false">
      <c r="B11" s="4" t="s">
        <v>128</v>
      </c>
      <c r="C11" s="21" t="n">
        <f aca="false">'1 ข้อมูล'!$C$10</f>
        <v>0.6</v>
      </c>
      <c r="D11" s="4" t="s">
        <v>85</v>
      </c>
    </row>
    <row r="12" customFormat="false" ht="15" hidden="false" customHeight="false" outlineLevel="0" collapsed="false">
      <c r="B12" s="4" t="s">
        <v>129</v>
      </c>
      <c r="C12" s="21" t="n">
        <f aca="false">'1 ข้อมูล'!$C$10-0.06</f>
        <v>0.54</v>
      </c>
      <c r="D12" s="4" t="s">
        <v>130</v>
      </c>
    </row>
    <row r="13" customFormat="false" ht="15" hidden="false" customHeight="false" outlineLevel="0" collapsed="false">
      <c r="B13" s="4" t="s">
        <v>131</v>
      </c>
      <c r="C13" s="21" t="n">
        <v>0</v>
      </c>
      <c r="D13" s="4"/>
    </row>
    <row r="15" customFormat="false" ht="15" hidden="false" customHeight="false" outlineLevel="0" collapsed="false">
      <c r="B15" s="8" t="s">
        <v>132</v>
      </c>
      <c r="C15" s="9"/>
      <c r="D15" s="9"/>
    </row>
    <row r="16" customFormat="false" ht="15" hidden="false" customHeight="false" outlineLevel="0" collapsed="false">
      <c r="B16" s="4" t="s">
        <v>133</v>
      </c>
      <c r="C16" s="10" t="n">
        <f aca="false">C7-C10</f>
        <v>0.110334311237412</v>
      </c>
      <c r="D16" s="13" t="str">
        <f aca="false">IF(C16&gt;=0.1,"ผ่าน ✔ ม่านน้ำตกอิสระ","ไม่ผ่าน ✘ น้ำช่อง 3 จะย้อนขึ้นช่อง 2")</f>
        <v>ผ่าน ✔ ม่านน้ำตกอิสระ</v>
      </c>
    </row>
    <row r="17" customFormat="false" ht="15" hidden="false" customHeight="false" outlineLevel="0" collapsed="false">
      <c r="B17" s="4" t="s">
        <v>134</v>
      </c>
      <c r="C17" s="10" t="n">
        <f aca="false">C5-C6</f>
        <v>0.2</v>
      </c>
      <c r="D17" s="13" t="str">
        <f aca="false">IF(C17&gt;=0.15,"ผ่าน ✔","ไม่ผ่าน ✘")</f>
        <v>ผ่าน 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135</v>
      </c>
    </row>
    <row r="2" customFormat="false" ht="15" hidden="false" customHeight="false" outlineLevel="0" collapsed="false">
      <c r="B2" s="2" t="s">
        <v>136</v>
      </c>
    </row>
    <row r="4" customFormat="false" ht="57.75" hidden="false" customHeight="true" outlineLevel="0" collapsed="false">
      <c r="B4" s="3" t="s">
        <v>137</v>
      </c>
      <c r="C4" s="3" t="s">
        <v>138</v>
      </c>
      <c r="D4" s="3" t="s">
        <v>139</v>
      </c>
      <c r="E4" s="3" t="s">
        <v>140</v>
      </c>
      <c r="F4" s="3" t="s">
        <v>141</v>
      </c>
      <c r="G4" s="3" t="s">
        <v>142</v>
      </c>
    </row>
    <row r="5" customFormat="false" ht="15" hidden="false" customHeight="false" outlineLevel="0" collapsed="false">
      <c r="B5" s="22" t="n">
        <v>5</v>
      </c>
      <c r="C5" s="15" t="n">
        <f aca="false">'2 เวียร์'!$C$5*(B5/100)^2.5*3600</f>
        <v>2.77719642805474</v>
      </c>
      <c r="D5" s="7" t="n">
        <f aca="false">'2 เวียร์'!$C$6*(B5/100+'1 ข้อมูล'!$C$22)^2.5*3600</f>
        <v>2.86619650300861</v>
      </c>
      <c r="E5" s="23" t="n">
        <f aca="false">C5/D5-1</f>
        <v>-0.0310516305704971</v>
      </c>
      <c r="F5" s="19" t="n">
        <f aca="false">C5/3.6</f>
        <v>0.771443452237427</v>
      </c>
      <c r="G5" s="24" t="n">
        <f aca="false">C5*24</f>
        <v>66.6527142733137</v>
      </c>
    </row>
    <row r="6" customFormat="false" ht="15" hidden="false" customHeight="false" outlineLevel="0" collapsed="false">
      <c r="B6" s="22" t="n">
        <v>6</v>
      </c>
      <c r="C6" s="15" t="n">
        <f aca="false">'2 เวียร์'!$C$5*(B6/100)^2.5*3600</f>
        <v>4.38086341517286</v>
      </c>
      <c r="D6" s="7" t="n">
        <f aca="false">'2 เวียร์'!$C$6*(B6/100+'1 ข้อมูล'!$C$22)^2.5*3600</f>
        <v>4.48983131905459</v>
      </c>
      <c r="E6" s="23" t="n">
        <f aca="false">C6/D6-1</f>
        <v>-0.0242699326852838</v>
      </c>
      <c r="F6" s="19" t="n">
        <f aca="false">C6/3.6</f>
        <v>1.21690650421468</v>
      </c>
      <c r="G6" s="24" t="n">
        <f aca="false">C6*24</f>
        <v>105.140721964149</v>
      </c>
    </row>
    <row r="7" customFormat="false" ht="15" hidden="false" customHeight="false" outlineLevel="0" collapsed="false">
      <c r="B7" s="22" t="n">
        <v>7</v>
      </c>
      <c r="C7" s="15" t="n">
        <f aca="false">'2 เวียร์'!$C$5*(B7/100)^2.5*3600</f>
        <v>6.44060533155076</v>
      </c>
      <c r="D7" s="7" t="n">
        <f aca="false">'2 เวียร์'!$C$6*(B7/100+'1 ข้อมูล'!$C$22)^2.5*3600</f>
        <v>6.56792530595593</v>
      </c>
      <c r="E7" s="23" t="n">
        <f aca="false">C7/D7-1</f>
        <v>-0.0193851130264402</v>
      </c>
      <c r="F7" s="19" t="n">
        <f aca="false">C7/3.6</f>
        <v>1.78905703654188</v>
      </c>
      <c r="G7" s="24" t="n">
        <f aca="false">C7*24</f>
        <v>154.574527957218</v>
      </c>
    </row>
    <row r="8" customFormat="false" ht="15" hidden="false" customHeight="false" outlineLevel="0" collapsed="false">
      <c r="B8" s="22" t="n">
        <v>8</v>
      </c>
      <c r="C8" s="15" t="n">
        <f aca="false">'2 เวียร์'!$C$5*(B8/100)^2.5*3600</f>
        <v>8.99304061167301</v>
      </c>
      <c r="D8" s="7" t="n">
        <f aca="false">'2 เวียร์'!$C$6*(B8/100+'1 ข้อมูล'!$C$22)^2.5*3600</f>
        <v>9.13647413844802</v>
      </c>
      <c r="E8" s="23" t="n">
        <f aca="false">C8/D8-1</f>
        <v>-0.0156990021097324</v>
      </c>
      <c r="F8" s="19" t="n">
        <f aca="false">C8/3.6</f>
        <v>2.49806683657584</v>
      </c>
      <c r="G8" s="24" t="n">
        <f aca="false">C8*24</f>
        <v>215.832974680152</v>
      </c>
    </row>
    <row r="9" customFormat="false" ht="15" hidden="false" customHeight="false" outlineLevel="0" collapsed="false">
      <c r="B9" s="22" t="n">
        <v>9</v>
      </c>
      <c r="C9" s="15" t="n">
        <f aca="false">'2 เวียร์'!$C$5*(B9/100)^2.5*3600</f>
        <v>12.07224</v>
      </c>
      <c r="D9" s="7" t="n">
        <f aca="false">'2 เวียร์'!$C$6*(B9/100+'1 ข้อมูล'!$C$22)^2.5*3600</f>
        <v>12.2289986697729</v>
      </c>
      <c r="E9" s="23" t="n">
        <f aca="false">C9/D9-1</f>
        <v>-0.0128186022425818</v>
      </c>
      <c r="F9" s="19" t="n">
        <f aca="false">C9/3.6</f>
        <v>3.3534</v>
      </c>
      <c r="G9" s="24" t="n">
        <f aca="false">C9*24</f>
        <v>289.73376</v>
      </c>
    </row>
    <row r="10" customFormat="false" ht="15" hidden="false" customHeight="false" outlineLevel="0" collapsed="false">
      <c r="B10" s="22" t="n">
        <v>10</v>
      </c>
      <c r="C10" s="15" t="n">
        <f aca="false">'2 เวียร์'!$C$5*(B10/100)^2.5*3600</f>
        <v>15.7101954157165</v>
      </c>
      <c r="D10" s="7" t="n">
        <f aca="false">'2 เวียร์'!$C$6*(B10/100+'1 ข้อมูล'!$C$22)^2.5*3600</f>
        <v>15.8769956216084</v>
      </c>
      <c r="E10" s="23" t="n">
        <f aca="false">C10/D10-1</f>
        <v>-0.0105057789185823</v>
      </c>
      <c r="F10" s="19" t="n">
        <f aca="false">C10/3.6</f>
        <v>4.36394317103236</v>
      </c>
      <c r="G10" s="24" t="n">
        <f aca="false">C10*24</f>
        <v>377.044689977196</v>
      </c>
    </row>
    <row r="11" customFormat="false" ht="15" hidden="false" customHeight="false" outlineLevel="0" collapsed="false">
      <c r="B11" s="22" t="n">
        <v>11</v>
      </c>
      <c r="C11" s="15" t="n">
        <f aca="false">'2 เวียร์'!$C$5*(B11/100)^2.5*3600</f>
        <v>19.9371602697676</v>
      </c>
      <c r="D11" s="7" t="n">
        <f aca="false">'2 เวียร์'!$C$6*(B11/100+'1 ข้อมูล'!$C$22)^2.5*3600</f>
        <v>20.1102658699656</v>
      </c>
      <c r="E11" s="23" t="n">
        <f aca="false">C11/D11-1</f>
        <v>-0.00860782255775738</v>
      </c>
      <c r="F11" s="19" t="n">
        <f aca="false">C11/3.6</f>
        <v>5.53810007493545</v>
      </c>
      <c r="G11" s="24" t="n">
        <f aca="false">C11*24</f>
        <v>478.491846474423</v>
      </c>
    </row>
    <row r="12" customFormat="false" ht="15" hidden="false" customHeight="false" outlineLevel="0" collapsed="false">
      <c r="B12" s="22" t="n">
        <v>12</v>
      </c>
      <c r="C12" s="15" t="n">
        <f aca="false">'2 เวียร์'!$C$5*(B12/100)^2.5*3600</f>
        <v>24.7819058265663</v>
      </c>
      <c r="D12" s="7" t="n">
        <f aca="false">'2 เวียร์'!$C$6*(B12/100+'1 ข้อมูล'!$C$22)^2.5*3600</f>
        <v>24.9571624264048</v>
      </c>
      <c r="E12" s="23" t="n">
        <f aca="false">C12/D12-1</f>
        <v>-0.00702229671964116</v>
      </c>
      <c r="F12" s="19" t="n">
        <f aca="false">C12/3.6</f>
        <v>6.88386272960174</v>
      </c>
      <c r="G12" s="24" t="n">
        <f aca="false">C12*24</f>
        <v>594.765739837591</v>
      </c>
    </row>
    <row r="13" customFormat="false" ht="15" hidden="false" customHeight="false" outlineLevel="0" collapsed="false">
      <c r="B13" s="22" t="n">
        <v>13</v>
      </c>
      <c r="C13" s="15" t="n">
        <f aca="false">'2 เวียร์'!$C$5*(B13/100)^2.5*3600</f>
        <v>30.2719200646936</v>
      </c>
      <c r="D13" s="7" t="n">
        <f aca="false">'2 เวียร์'!$C$6*(B13/100+'1 ข้อมูล'!$C$22)^2.5*3600</f>
        <v>30.4447832233961</v>
      </c>
      <c r="E13" s="23" t="n">
        <f aca="false">C13/D13-1</f>
        <v>-0.0056779237820157</v>
      </c>
      <c r="F13" s="19" t="n">
        <f aca="false">C13/3.6</f>
        <v>8.40886668463712</v>
      </c>
      <c r="G13" s="24" t="n">
        <f aca="false">C13*24</f>
        <v>726.526081552647</v>
      </c>
    </row>
    <row r="14" customFormat="false" ht="15" hidden="false" customHeight="false" outlineLevel="0" collapsed="false">
      <c r="B14" s="22" t="n">
        <v>14</v>
      </c>
      <c r="C14" s="15" t="n">
        <f aca="false">'2 เวียร์'!$C$5*(B14/100)^2.5*3600</f>
        <v>36.4335656390862</v>
      </c>
      <c r="D14" s="7" t="n">
        <f aca="false">'2 เวียร์'!$C$6*(B14/100+'1 ข้อมูล'!$C$22)^2.5*3600</f>
        <v>36.599124528368</v>
      </c>
      <c r="E14" s="23" t="n">
        <f aca="false">C14/D14-1</f>
        <v>-0.00452357512413992</v>
      </c>
      <c r="F14" s="19" t="n">
        <f aca="false">C14/3.6</f>
        <v>10.1204348997462</v>
      </c>
      <c r="G14" s="24" t="n">
        <f aca="false">C14*24</f>
        <v>874.405575338068</v>
      </c>
    </row>
    <row r="15" customFormat="false" ht="15" hidden="false" customHeight="false" outlineLevel="0" collapsed="false">
      <c r="B15" s="22" t="n">
        <v>15</v>
      </c>
      <c r="C15" s="15" t="n">
        <f aca="false">'2 เวียร์'!$C$5*(B15/100)^2.5*3600</f>
        <v>43.2922078439065</v>
      </c>
      <c r="D15" s="7" t="n">
        <f aca="false">'2 เวียร์'!$C$6*(B15/100+'1 ข้อมูล'!$C$22)^2.5*3600</f>
        <v>43.4452054104805</v>
      </c>
      <c r="E15" s="23" t="n">
        <f aca="false">C15/D15-1</f>
        <v>-0.00352162143390655</v>
      </c>
      <c r="F15" s="19" t="n">
        <f aca="false">C15/3.6</f>
        <v>12.025613289974</v>
      </c>
      <c r="G15" s="24" t="n">
        <f aca="false">C15*24</f>
        <v>1039.01298825376</v>
      </c>
    </row>
    <row r="16" customFormat="false" ht="15" hidden="false" customHeight="false" outlineLevel="0" collapsed="false">
      <c r="B16" s="22" t="n">
        <v>16</v>
      </c>
      <c r="C16" s="15" t="n">
        <f aca="false">'2 เวียร์'!$C$5*(B16/100)^2.5*3600</f>
        <v>50.87232</v>
      </c>
      <c r="D16" s="7" t="n">
        <f aca="false">'2 เวียร์'!$C$6*(B16/100+'1 ข้อมูล'!$C$22)^2.5*3600</f>
        <v>51.0071703805085</v>
      </c>
      <c r="E16" s="23" t="n">
        <f aca="false">C16/D16-1</f>
        <v>-0.0026437534076581</v>
      </c>
      <c r="F16" s="19" t="n">
        <f aca="false">C16/3.6</f>
        <v>14.1312</v>
      </c>
      <c r="G16" s="24" t="n">
        <f aca="false">C16*24</f>
        <v>1220.93568</v>
      </c>
    </row>
    <row r="17" customFormat="false" ht="15" hidden="false" customHeight="false" outlineLevel="0" collapsed="false">
      <c r="B17" s="22" t="n">
        <v>17</v>
      </c>
      <c r="C17" s="15" t="n">
        <f aca="false">'2 เวียร์'!$C$5*(B17/100)^2.5*3600</f>
        <v>59.1975714819181</v>
      </c>
      <c r="D17" s="7" t="n">
        <f aca="false">'2 เวียร์'!$C$6*(B17/100+'1 ข้อมูล'!$C$22)^2.5*3600</f>
        <v>59.3083752175669</v>
      </c>
      <c r="E17" s="23" t="n">
        <f aca="false">C17/D17-1</f>
        <v>-0.00186826456200051</v>
      </c>
      <c r="F17" s="19" t="n">
        <f aca="false">C17/3.6</f>
        <v>16.4437698560884</v>
      </c>
      <c r="G17" s="24" t="n">
        <f aca="false">C17*24</f>
        <v>1420.74171556603</v>
      </c>
    </row>
    <row r="18" customFormat="false" ht="15" hidden="false" customHeight="false" outlineLevel="0" collapsed="false">
      <c r="B18" s="22" t="n">
        <v>18</v>
      </c>
      <c r="C18" s="15" t="n">
        <f aca="false">'2 เวียร์'!$C$5*(B18/100)^2.5*3600</f>
        <v>68.2909021448919</v>
      </c>
      <c r="D18" s="7" t="n">
        <f aca="false">'2 เวียร์'!$C$6*(B18/100+'1 ข้อมูล'!$C$22)^2.5*3600</f>
        <v>68.3714596053392</v>
      </c>
      <c r="E18" s="23" t="n">
        <f aca="false">C18/D18-1</f>
        <v>-0.00117823227575298</v>
      </c>
      <c r="F18" s="19" t="n">
        <f aca="false">C18/3.6</f>
        <v>18.9696950402477</v>
      </c>
      <c r="G18" s="24" t="n">
        <f aca="false">C18*24</f>
        <v>1638.98165147741</v>
      </c>
    </row>
    <row r="19" customFormat="false" ht="15" hidden="false" customHeight="false" outlineLevel="0" collapsed="false">
      <c r="B19" s="22" t="n">
        <v>19</v>
      </c>
      <c r="C19" s="15" t="n">
        <f aca="false">'2 เวียร์'!$C$5*(B19/100)^2.5*3600</f>
        <v>78.1745859249513</v>
      </c>
      <c r="D19" s="7" t="n">
        <f aca="false">'2 เวียร์'!$C$6*(B19/100+'1 ข้อมูล'!$C$22)^2.5*3600</f>
        <v>78.2184092541632</v>
      </c>
      <c r="E19" s="23" t="n">
        <f aca="false">C19/D19-1</f>
        <v>-0.000560268735067315</v>
      </c>
      <c r="F19" s="19" t="n">
        <f aca="false">C19/3.6</f>
        <v>21.7151627569309</v>
      </c>
      <c r="G19" s="24" t="n">
        <f aca="false">C19*24</f>
        <v>1876.19006219883</v>
      </c>
    </row>
    <row r="20" customFormat="false" ht="15" hidden="false" customHeight="false" outlineLevel="0" collapsed="false">
      <c r="B20" s="22" t="n">
        <v>20</v>
      </c>
      <c r="C20" s="15" t="n">
        <f aca="false">'2 เวียร์'!$C$5*(B20/100)^2.5*3600</f>
        <v>88.8702856977516</v>
      </c>
      <c r="D20" s="7" t="n">
        <f aca="false">'2 เวียร์'!$C$6*(B20/100+'1 ข้อมูล'!$C$22)^2.5*3600</f>
        <v>88.8706095248216</v>
      </c>
      <c r="E20" s="23" t="n">
        <f aca="false">C20/D20-1</f>
        <v>-3.64380385908802E-006</v>
      </c>
      <c r="F20" s="19" t="n">
        <f aca="false">C20/3.6</f>
        <v>24.6861904715977</v>
      </c>
      <c r="G20" s="24" t="n">
        <f aca="false">C20*24</f>
        <v>2132.88685674604</v>
      </c>
    </row>
    <row r="21" customFormat="false" ht="15" hidden="false" customHeight="false" outlineLevel="0" collapsed="false">
      <c r="B21" s="22" t="n">
        <v>21</v>
      </c>
      <c r="C21" s="15" t="n">
        <f aca="false">'2 เวียร์'!$C$5*(B21/100)^2.5*3600</f>
        <v>100.399100991704</v>
      </c>
      <c r="D21" s="7" t="n">
        <f aca="false">'2 เวียร์'!$C$6*(B21/100+'1 ข้อมูล'!$C$22)^2.5*3600</f>
        <v>100.348892098404</v>
      </c>
      <c r="E21" s="23" t="n">
        <f aca="false">C21/D21-1</f>
        <v>0.000500343274847825</v>
      </c>
      <c r="F21" s="19" t="n">
        <f aca="false">C21/3.6</f>
        <v>27.8886391643623</v>
      </c>
      <c r="G21" s="24" t="n">
        <f aca="false">C21*24</f>
        <v>2409.5784238009</v>
      </c>
    </row>
    <row r="22" customFormat="false" ht="15" hidden="false" customHeight="false" outlineLevel="0" collapsed="false">
      <c r="B22" s="22" t="n">
        <v>22</v>
      </c>
      <c r="C22" s="15" t="n">
        <f aca="false">'2 เวียร์'!$C$5*(B22/100)^2.5*3600</f>
        <v>112.781609794846</v>
      </c>
      <c r="D22" s="7" t="n">
        <f aca="false">'2 เวียร์'!$C$6*(B22/100+'1 ข้อมูล'!$C$22)^2.5*3600</f>
        <v>112.673575893332</v>
      </c>
      <c r="E22" s="23" t="n">
        <f aca="false">C22/D22-1</f>
        <v>0.00095882198338515</v>
      </c>
      <c r="F22" s="19" t="n">
        <f aca="false">C22/3.6</f>
        <v>31.3282249430127</v>
      </c>
      <c r="G22" s="24" t="n">
        <f aca="false">C22*24</f>
        <v>2706.75863507629</v>
      </c>
    </row>
    <row r="23" customFormat="false" ht="15" hidden="false" customHeight="false" outlineLevel="0" collapsed="false">
      <c r="B23" s="22" t="n">
        <v>23</v>
      </c>
      <c r="C23" s="15" t="n">
        <f aca="false">'2 เวียร์'!$C$5*(B23/100)^2.5*3600</f>
        <v>126.037905431355</v>
      </c>
      <c r="D23" s="7" t="n">
        <f aca="false">'2 เวียร์'!$C$6*(B23/100+'1 ข้อมูล'!$C$22)^2.5*3600</f>
        <v>125.864503176292</v>
      </c>
      <c r="E23" s="23" t="n">
        <f aca="false">C23/D23-1</f>
        <v>0.00137768990213294</v>
      </c>
      <c r="F23" s="19" t="n">
        <f aca="false">C23/3.6</f>
        <v>35.0105292864875</v>
      </c>
      <c r="G23" s="24" t="n">
        <f aca="false">C23*24</f>
        <v>3024.90973035252</v>
      </c>
    </row>
    <row r="24" customFormat="false" ht="15" hidden="false" customHeight="false" outlineLevel="0" collapsed="false">
      <c r="B24" s="22" t="n">
        <v>24</v>
      </c>
      <c r="C24" s="15" t="n">
        <f aca="false">'2 เวียร์'!$C$5*(B24/100)^2.5*3600</f>
        <v>140.187629285531</v>
      </c>
      <c r="D24" s="7" t="n">
        <f aca="false">'2 เวียร์'!$C$6*(B24/100+'1 ข้อมูล'!$C$22)^2.5*3600</f>
        <v>139.941071622383</v>
      </c>
      <c r="E24" s="23" t="n">
        <f aca="false">C24/D24-1</f>
        <v>0.00176186776540921</v>
      </c>
      <c r="F24" s="19" t="n">
        <f aca="false">C24/3.6</f>
        <v>38.9410081348699</v>
      </c>
      <c r="G24" s="24" t="n">
        <f aca="false">C24*24</f>
        <v>3364.50310285276</v>
      </c>
    </row>
    <row r="25" customFormat="false" ht="15" hidden="false" customHeight="false" outlineLevel="0" collapsed="false">
      <c r="B25" s="22" t="n">
        <v>25</v>
      </c>
      <c r="C25" s="15" t="n">
        <f aca="false">'2 เวียร์'!$C$5*(B25/100)^2.5*3600</f>
        <v>155.25</v>
      </c>
      <c r="D25" s="7" t="n">
        <f aca="false">'2 เวียร์'!$C$6*(B25/100+'1 ข้อมูล'!$C$22)^2.5*3600</f>
        <v>154.922262933655</v>
      </c>
      <c r="E25" s="23" t="n">
        <f aca="false">C25/D25-1</f>
        <v>0.00211549366849639</v>
      </c>
      <c r="F25" s="19" t="n">
        <f aca="false">C25/3.6</f>
        <v>43.125</v>
      </c>
      <c r="G25" s="24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2026-10-30T07:50:18Z</dcterms:created>
  <dc:creator>openpyxl</dc:creator>
  <dc:description/>
  <dc:language>en-US</dc:language>
  <cp:lastModifiedBy/>
  <dcterms:modified xsi:type="dcterms:W3CDTF">2026-10-30T07:50:18Z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