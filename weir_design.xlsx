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ช่องโชว์น้ำ" sheetId="3" state="visible" r:id="rId5"/>
    <sheet name="4 ระดับ" sheetId="4" state="visible" r:id="rId6"/>
    <sheet name="5 ตาราง h-Q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FreeSans"/>
            <family val="2"/>
          </rPr>
          <t xml:space="preserve">ค่าจากใบเสนอราคา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FreeSans"/>
            <family val="2"/>
          </rPr>
          <t xml:space="preserve">ระบบเดิน </t>
        </r>
        <r>
          <rPr>
            <sz val="10"/>
            <rFont val="Arial"/>
            <family val="2"/>
          </rPr>
          <t xml:space="preserve">50–100 m³/h</t>
        </r>
      </text>
    </comment>
  </commentList>
</comments>
</file>

<file path=xl/sharedStrings.xml><?xml version="1.0" encoding="utf-8"?>
<sst xmlns="http://schemas.openxmlformats.org/spreadsheetml/2006/main" count="153" uniqueCount="132">
  <si>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</si>
  <si>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2–5 จะคำนวณใหม่ให้เอง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</si>
  <si>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</si>
  <si>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</si>
  <si>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</si>
  <si>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</si>
  <si>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</si>
  <si>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</si>
  <si>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</si>
  <si>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</si>
  <si>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</si>
  <si>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</si>
  <si>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</si>
  <si>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</si>
  <si>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ความกว้างภายในบ่อ (B)</t>
  </si>
  <si>
    <t xml:space="preserve">m</t>
  </si>
  <si>
    <t xml:space="preserve">เกณฑ์ ≥ 0.90 m และ h/B ≤ 0.2</t>
  </si>
  <si>
    <t xml:space="preserve">ความสูงยอด V จากพื้นบ่อ (P)</t>
  </si>
  <si>
    <t xml:space="preserve">เกณฑ์ ≥ 0.45 m และ h/P ≤ 0.4</t>
  </si>
  <si>
    <t xml:space="preserve">ความลึกร่อง V</t>
  </si>
  <si>
    <t xml:space="preserve">เกณฑ์ ≥ hmax + 0.08 m</t>
  </si>
  <si>
    <t xml:space="preserve">ความยาวช่วงตรงหน้าเวียร์</t>
  </si>
  <si>
    <t xml:space="preserve">เกณฑ์ ≥ 10 × hmax</t>
  </si>
  <si>
    <t xml:space="preserve">ระยะจุดวัด h เหนือแผ่นเวียร์</t>
  </si>
  <si>
    <t xml:space="preserve">เกณฑ์ 4–5 × hmax</t>
  </si>
  <si>
    <t xml:space="preserve">ระดับผิวพื้นยก ช่อง 2</t>
  </si>
  <si>
    <t xml:space="preserve">วัดจากพื้นบ่อ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</si>
  <si>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</si>
  <si>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</si>
  <si>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น้ำเข้าเฉลี่ย (= น้ำต่อวัน ÷ 24)</t>
  </si>
  <si>
    <t xml:space="preserve">คำนวณให้</t>
  </si>
  <si>
    <t xml:space="preserve">ค่าคงที่ (ไม่ต้องแก้)</t>
  </si>
  <si>
    <t xml:space="preserve">ความเร่งโน้มถ่วง (g)</t>
  </si>
  <si>
    <t xml:space="preserve">m/s²</t>
  </si>
  <si>
    <t xml:space="preserve">สัมประสิทธิ์อัตราไหล V-notch 90° (Ce)</t>
  </si>
  <si>
    <t xml:space="preserve">-</t>
  </si>
  <si>
    <t xml:space="preserve">ISO 1438 / USBR, สมการ Kindsvater–Shen</t>
  </si>
  <si>
    <t xml:space="preserve">ค่าปรับความสูงน้ำ V-notch 90° (kh)</t>
  </si>
  <si>
    <t xml:space="preserve">ISO 1438 / USBR</t>
  </si>
  <si>
    <t xml:space="preserve">สัมประสิทธิ์สันปลายตรง (Francis)</t>
  </si>
  <si>
    <t xml:space="preserve">Q = 1.84 · B · H^1.5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</si>
  <si>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</si>
  <si>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</si>
  <si>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</si>
  <si>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</si>
  <si>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</si>
  <si>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16.1</t>
  </si>
  <si>
    <t xml:space="preserve">ผลลัพธ์สำคัญ</t>
  </si>
  <si>
    <t xml:space="preserve">ตัวเลขสีดำ</t>
  </si>
  <si>
    <t xml:space="preserve">0.014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</si>
  <si>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</si>
  <si>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</si>
  <si>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 ISO 1438:  Q = Ce × (8/15) × √(2g) × (h + kh)^2.5   →   h = (Q ÷ K)^0.4 − kh   โดย K = Ce × (8/15) × √(2g)</t>
  </si>
  <si>
    <t xml:space="preserve">ขั้นที่ 1  หาค่าคงที่ K</t>
  </si>
  <si>
    <t xml:space="preserve">K = Ce × (8/15) × √(2g)</t>
  </si>
  <si>
    <t xml:space="preserve">≈ 1.365 สำหรับ V-notch 90°</t>
  </si>
  <si>
    <t xml:space="preserve">ขั้นที่ 2  แปลงอัตราการไหล แล้วหา h</t>
  </si>
  <si>
    <t xml:space="preserve">กรณี</t>
  </si>
  <si>
    <t xml:space="preserve">Q ผ่านเวียร์
(m³/h)</t>
  </si>
  <si>
    <t xml:space="preserve">Q
(m³/s)
= ÷3600</t>
  </si>
  <si>
    <t xml:space="preserve">h
(m)
= (Q÷K)^0.4 − kh</t>
  </si>
  <si>
    <t xml:space="preserve">h
(cm)</t>
  </si>
  <si>
    <t xml:space="preserve">ระดับน้ำ ช่อง 3
(m จากพื้น)
= P + h</t>
  </si>
  <si>
    <t xml:space="preserve">น้ำเข้าต่ำสุด ปั๊มเดิน</t>
  </si>
  <si>
    <t xml:space="preserve">น้ำเข้าเฉลี่ย ปั๊มเดิน</t>
  </si>
  <si>
    <t xml:space="preserve">น้ำเข้าสูงสุด ปั๊มเดิน</t>
  </si>
  <si>
    <t xml:space="preserve">น้ำเข้าสูงสุด ปั๊มหยุด (ใช้ออกแบบ)</t>
  </si>
  <si>
    <t xml:space="preserve">ขั้นที่ 3  ตรวจสอบเกณฑ์ (ใช้ hmax = กรณีสุดท้าย)</t>
  </si>
  <si>
    <t xml:space="preserve">รายการตรวจ</t>
  </si>
  <si>
    <t xml:space="preserve">เกณฑ์</t>
  </si>
  <si>
    <t xml:space="preserve">ค่าที่ได้</t>
  </si>
  <si>
    <t xml:space="preserve">ผล</t>
  </si>
  <si>
    <t xml:space="preserve">h ต่ำสุด ≥ 0.05 m (ต่ำกว่านี้วัดไม่แม่น)</t>
  </si>
  <si>
    <t xml:space="preserve">≥ 0.05 m</t>
  </si>
  <si>
    <t xml:space="preserve">hmax ≤ 0.38 m</t>
  </si>
  <si>
    <t xml:space="preserve">≤ 0.38 m</t>
  </si>
  <si>
    <t xml:space="preserve">h / P</t>
  </si>
  <si>
    <t xml:space="preserve">≤ 0.4</t>
  </si>
  <si>
    <t xml:space="preserve">h / B</t>
  </si>
  <si>
    <t xml:space="preserve">≤ 0.2</t>
  </si>
  <si>
    <t xml:space="preserve">P</t>
  </si>
  <si>
    <t xml:space="preserve">≥ 0.45 m</t>
  </si>
  <si>
    <t xml:space="preserve">B</t>
  </si>
  <si>
    <t xml:space="preserve">≥ 0.90 m</t>
  </si>
  <si>
    <t xml:space="preserve">ร่อง V ลึกกว่า hmax อย่างน้อย (m)</t>
  </si>
  <si>
    <t xml:space="preserve">≥ 0.08 m</t>
  </si>
  <si>
    <t xml:space="preserve">ช่วงตรงหน้าเวียร์ ÷ hmax</t>
  </si>
  <si>
    <t xml:space="preserve">≥ 10 เท่า</t>
  </si>
  <si>
    <t xml:space="preserve">ระยะจุดวัด h ÷ hmax</t>
  </si>
  <si>
    <t xml:space="preserve">4–5 เท่า</t>
  </si>
  <si>
    <t xml:space="preserve">3) ช่อง 2 โชว์น้ำใส — ชั้นน้ำบนพื้นยกหนาเท่าไร</t>
  </si>
  <si>
    <t xml:space="preserve">สันปลาย:  Q = 1.84 × B × H^1.5  →  H = (Q ÷ (1.84 × B))^(2/3)   |   ความลึก = สันปลาย + H   |   Froude = v ÷ √(g × ลึก) 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</si>
  <si>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</si>
  <si>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</si>
  <si>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</si>
  <si>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</si>
  <si>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</si>
  <si>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</si>
  <si>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</si>
  <si>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อ่านผลอย่างไร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</si>
  <si>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</si>
  <si>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</si>
  <si>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หรือเพิ่มความกว้าง B — แต่ Froude จะสูงขึ้น ให้ดูคอลัมน์ 'ผิวน้ำ' ประกอบ</t>
  </si>
  <si>
    <t xml:space="preserve">4) ระดับต่าง ๆ ของบ่อ (พื้นบ่อ = ±0.000 m)</t>
  </si>
  <si>
    <t xml:space="preserve">คำนวณที่น้ำเข้าสูงสุด ปั๊มหยุด (กรณีน้ำสูงที่สุด)</t>
  </si>
  <si>
    <t xml:space="preserve">ระดับ</t>
  </si>
  <si>
    <t xml:space="preserve">คิดจาก</t>
  </si>
  <si>
    <t xml:space="preserve">สันกำแพง</t>
  </si>
  <si>
    <t xml:space="preserve">น้ำช่อง 1 + เผื่อ 0.20 m</t>
  </si>
  <si>
    <t xml:space="preserve">น้ำ ช่อง 1 (โดยประมาณ)</t>
  </si>
  <si>
    <t xml:space="preserve">พื้นยก + ชั้นน้ำ + การสูญเสียทางเข้า 1.5·v²/2g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</si>
  <si>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</si>
  <si>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</si>
  <si>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</si>
  <si>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ชีต 1</t>
  </si>
  <si>
    <t xml:space="preserve">ขอบบนร่อง V</t>
  </si>
  <si>
    <t xml:space="preserve">P + ความลึกร่อง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</si>
  <si>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</si>
  <si>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</si>
  <si>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</si>
  <si>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น้ำท้ายเวียร์ต้องไม่เกิน</t>
  </si>
  <si>
    <t xml:space="preserve">ต่ำกว่ายอด V อย่างน้อย 6 cm</t>
  </si>
  <si>
    <t xml:space="preserve">พื้นบ่อ</t>
  </si>
  <si>
    <t xml:space="preserve">ตรวจสอบ</t>
  </si>
  <si>
    <t xml:space="preserve">สันปลายช่อง 2 สูงกว่าน้ำช่อง 3 (m)</t>
  </si>
  <si>
    <t xml:space="preserve">สันกำแพงสูงกว่าน้ำช่อง 1 (m)</t>
  </si>
  <si>
    <t xml:space="preserve">5) ตาราง h → Q สำหรับอ่านค่าหน้างาน</t>
  </si>
  <si>
    <t xml:space="preserve">วัด h จากยอด V (cm) แล้วอ่าน Q   |   Q = K × (h + kh)^2.5</t>
  </si>
  <si>
    <t xml:space="preserve">h (cm)</t>
  </si>
  <si>
    <t xml:space="preserve">Q (m³/h)</t>
  </si>
  <si>
    <t xml:space="preserve">Q (L/s)</t>
  </si>
  <si>
    <t xml:space="preserve">Q (m³/วัน)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</si>
</sst>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"/>
    <numFmt numFmtId="167" formatCode="0.0"/>
    <numFmt numFmtId="168" formatCode="0.000"/>
    <numFmt numFmtId="169" formatCode="0.00000"/>
    <numFmt numFmtId="170" formatCode="0.0000"/>
    <numFmt numFmtId="171" formatCode="\+0.000;\-0.000;\±0.000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46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 t="n">
        <v>1507</v>
      </c>
      <c r="D5" s="4" t="s">
        <v>7</v>
      </c>
      <c r="E5" s="4" t="s">
        <v>8</v>
      </c>
    </row>
    <row r="6" customFormat="false" ht="15" hidden="false" customHeight="false" outlineLevel="0" collapsed="false">
      <c r="B6" s="4" t="s">
        <v>9</v>
      </c>
      <c r="C6" s="5" t="n">
        <v>50</v>
      </c>
      <c r="D6" s="4" t="s">
        <v>10</v>
      </c>
      <c r="E6" s="4" t="s">
        <v>11</v>
      </c>
    </row>
    <row r="7" customFormat="false" ht="15" hidden="false" customHeight="false" outlineLevel="0" collapsed="false">
      <c r="B7" s="4" t="s">
        <v>12</v>
      </c>
      <c r="C7" s="5" t="n">
        <v>100</v>
      </c>
      <c r="D7" s="4" t="s">
        <v>10</v>
      </c>
      <c r="E7" s="4" t="s">
        <v>11</v>
      </c>
    </row>
    <row r="8" customFormat="false" ht="15" hidden="false" customHeight="false" outlineLevel="0" collapsed="false">
      <c r="B8" s="4" t="s">
        <v>13</v>
      </c>
      <c r="C8" s="5" t="n">
        <v>10</v>
      </c>
      <c r="D8" s="4" t="s">
        <v>10</v>
      </c>
      <c r="E8" s="4" t="s">
        <v>8</v>
      </c>
    </row>
    <row r="9" customFormat="false" ht="15" hidden="false" customHeight="false" outlineLevel="0" collapsed="false">
      <c r="B9" s="4" t="s">
        <v>14</v>
      </c>
      <c r="C9" s="6" t="n">
        <v>1.2</v>
      </c>
      <c r="D9" s="4" t="s">
        <v>15</v>
      </c>
      <c r="E9" s="4" t="s">
        <v>16</v>
      </c>
    </row>
    <row r="10" customFormat="false" ht="15" hidden="false" customHeight="false" outlineLevel="0" collapsed="false">
      <c r="B10" s="4" t="s">
        <v>17</v>
      </c>
      <c r="C10" s="6" t="n">
        <v>0.6</v>
      </c>
      <c r="D10" s="4" t="s">
        <v>15</v>
      </c>
      <c r="E10" s="4" t="s">
        <v>18</v>
      </c>
    </row>
    <row r="11" customFormat="false" ht="15" hidden="false" customHeight="false" outlineLevel="0" collapsed="false">
      <c r="B11" s="4" t="s">
        <v>19</v>
      </c>
      <c r="C11" s="6" t="n">
        <v>0.3</v>
      </c>
      <c r="D11" s="4" t="s">
        <v>15</v>
      </c>
      <c r="E11" s="4" t="s">
        <v>20</v>
      </c>
    </row>
    <row r="12" customFormat="false" ht="15" hidden="false" customHeight="false" outlineLevel="0" collapsed="false">
      <c r="B12" s="4" t="s">
        <v>21</v>
      </c>
      <c r="C12" s="6" t="n">
        <v>2.2</v>
      </c>
      <c r="D12" s="4" t="s">
        <v>15</v>
      </c>
      <c r="E12" s="4" t="s">
        <v>22</v>
      </c>
    </row>
    <row r="13" customFormat="false" ht="15" hidden="false" customHeight="false" outlineLevel="0" collapsed="false">
      <c r="B13" s="4" t="s">
        <v>23</v>
      </c>
      <c r="C13" s="6" t="n">
        <v>1</v>
      </c>
      <c r="D13" s="4" t="s">
        <v>15</v>
      </c>
      <c r="E13" s="4" t="s">
        <v>24</v>
      </c>
    </row>
    <row r="14" customFormat="false" ht="15" hidden="false" customHeight="false" outlineLevel="0" collapsed="false">
      <c r="B14" s="4" t="s">
        <v>25</v>
      </c>
      <c r="C14" s="6" t="n">
        <v>0.9</v>
      </c>
      <c r="D14" s="4" t="s">
        <v>15</v>
      </c>
      <c r="E14" s="4" t="s">
        <v>26</v>
      </c>
    </row>
    <row r="15" customFormat="false" ht="15" hidden="false" customHeight="false" outlineLevel="0" collapsed="false">
      <c r="B15" s="4" t="s">
        <v>27</v>
      </c>
      <c r="C15" s="6" t="n">
        <v>0.02</v>
      </c>
      <c r="D15" s="4" t="s">
        <v>15</v>
      </c>
      <c r="E15" s="4" t="s">
        <v>28</v>
      </c>
    </row>
    <row r="16" customFormat="false" ht="15" hidden="false" customHeight="false" outlineLevel="0" collapsed="false">
      <c r="B16" s="4" t="s">
        <v>29</v>
      </c>
      <c r="C16" s="7" t="n">
        <f aca="false">'1 ข้อมูล'!$C$5/24</f>
        <v>62.7916666666667</v>
      </c>
      <c r="D16" s="4" t="s">
        <v>10</v>
      </c>
      <c r="E16" s="4" t="s">
        <v>30</v>
      </c>
    </row>
    <row r="18" customFormat="false" ht="15" hidden="false" customHeight="false" outlineLevel="0" collapsed="false">
      <c r="B18" s="8" t="s">
        <v>31</v>
      </c>
      <c r="C18" s="9"/>
      <c r="D18" s="9"/>
      <c r="E18" s="9"/>
    </row>
    <row r="19" customFormat="false" ht="15" hidden="false" customHeight="false" outlineLevel="0" collapsed="false">
      <c r="B19" s="4" t="s">
        <v>32</v>
      </c>
      <c r="C19" s="10" t="n">
        <v>9.81</v>
      </c>
      <c r="D19" s="4" t="s">
        <v>33</v>
      </c>
      <c r="E19" s="4"/>
    </row>
    <row r="20" customFormat="false" ht="15" hidden="false" customHeight="false" outlineLevel="0" collapsed="false">
      <c r="B20" s="4" t="s">
        <v>34</v>
      </c>
      <c r="C20" s="10" t="n">
        <v>0.578</v>
      </c>
      <c r="D20" s="4" t="s">
        <v>35</v>
      </c>
      <c r="E20" s="4" t="s">
        <v>36</v>
      </c>
    </row>
    <row r="21" customFormat="false" ht="15" hidden="false" customHeight="false" outlineLevel="0" collapsed="false">
      <c r="B21" s="4" t="s">
        <v>37</v>
      </c>
      <c r="C21" s="11" t="n">
        <v>0.00085</v>
      </c>
      <c r="D21" s="4" t="s">
        <v>15</v>
      </c>
      <c r="E21" s="4" t="s">
        <v>38</v>
      </c>
    </row>
    <row r="22" customFormat="false" ht="15" hidden="false" customHeight="false" outlineLevel="0" collapsed="false">
      <c r="B22" s="4" t="s">
        <v>39</v>
      </c>
      <c r="C22" s="10" t="n">
        <v>1.84</v>
      </c>
      <c r="D22" s="4" t="s">
        <v>35</v>
      </c>
      <c r="E22" s="4" t="s">
        <v>40</v>
      </c>
    </row>
    <row r="24" customFormat="false" ht="15" hidden="false" customHeight="false" outlineLevel="0" collapsed="false">
      <c r="B24" s="8" t="s">
        <v>41</v>
      </c>
      <c r="C24" s="9"/>
      <c r="D24" s="9"/>
      <c r="E24" s="9"/>
    </row>
    <row r="25" customFormat="false" ht="15" hidden="false" customHeight="false" outlineLevel="0" collapsed="false">
      <c r="B25" s="4" t="s">
        <v>42</v>
      </c>
      <c r="C25" s="12" t="s">
        <v>43</v>
      </c>
      <c r="D25" s="4"/>
      <c r="E25" s="4" t="s">
        <v>44</v>
      </c>
    </row>
    <row r="26" customFormat="false" ht="15" hidden="false" customHeight="false" outlineLevel="0" collapsed="false">
      <c r="B26" s="4" t="s">
        <v>45</v>
      </c>
      <c r="C26" s="13" t="s">
        <v>46</v>
      </c>
      <c r="D26" s="4"/>
      <c r="E26" s="4" t="s">
        <v>47</v>
      </c>
    </row>
    <row r="27" customFormat="false" ht="15" hidden="false" customHeight="false" outlineLevel="0" collapsed="false">
      <c r="B27" s="4" t="s">
        <v>48</v>
      </c>
      <c r="C27" s="4" t="s">
        <v>49</v>
      </c>
      <c r="D27" s="4"/>
      <c r="E27" s="4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7" min="7" style="0" width="18"/>
  </cols>
  <sheetData>
    <row r="1" customFormat="false" ht="18.65" hidden="false" customHeight="false" outlineLevel="0" collapsed="false">
      <c r="B1" s="1" t="s">
        <v>51</v>
      </c>
    </row>
    <row r="2" customFormat="false" ht="15" hidden="false" customHeight="false" outlineLevel="0" collapsed="false">
      <c r="B2" s="2" t="s">
        <v>52</v>
      </c>
    </row>
    <row r="4" customFormat="false" ht="15" hidden="false" customHeight="false" outlineLevel="0" collapsed="false">
      <c r="B4" s="8" t="s">
        <v>53</v>
      </c>
      <c r="C4" s="9"/>
      <c r="D4" s="9"/>
      <c r="E4" s="9"/>
      <c r="F4" s="9"/>
      <c r="G4" s="9"/>
    </row>
    <row r="5" customFormat="false" ht="26.85" hidden="false" customHeight="false" outlineLevel="0" collapsed="false">
      <c r="B5" s="4" t="s">
        <v>54</v>
      </c>
      <c r="C5" s="14" t="n">
        <f aca="false">'1 ข้อมูล'!$C$20*(8/15)*SQRT(2*'1 ข้อมูล'!$C$19)</f>
        <v>1.36545083661038</v>
      </c>
      <c r="D5" s="4" t="s">
        <v>35</v>
      </c>
      <c r="E5" s="4" t="s">
        <v>55</v>
      </c>
      <c r="F5" s="4"/>
      <c r="G5" s="4"/>
    </row>
    <row r="7" customFormat="false" ht="15" hidden="false" customHeight="false" outlineLevel="0" collapsed="false">
      <c r="B7" s="8" t="s">
        <v>56</v>
      </c>
      <c r="C7" s="9"/>
      <c r="D7" s="9"/>
      <c r="E7" s="9"/>
      <c r="F7" s="9"/>
      <c r="G7" s="9"/>
    </row>
    <row r="8" customFormat="false" ht="57.75" hidden="false" customHeight="true" outlineLevel="0" collapsed="false">
      <c r="B8" s="3" t="s">
        <v>57</v>
      </c>
      <c r="C8" s="3" t="s">
        <v>58</v>
      </c>
      <c r="D8" s="3" t="s">
        <v>59</v>
      </c>
      <c r="E8" s="3" t="s">
        <v>60</v>
      </c>
      <c r="F8" s="3" t="s">
        <v>61</v>
      </c>
      <c r="G8" s="3" t="s">
        <v>62</v>
      </c>
    </row>
    <row r="9" customFormat="false" ht="15" hidden="false" customHeight="false" outlineLevel="0" collapsed="false">
      <c r="B9" s="4" t="s">
        <v>63</v>
      </c>
      <c r="C9" s="7" t="n">
        <f aca="false">'1 ข้อมูล'!$C$6-'1 ข้อมูล'!$C$8</f>
        <v>40</v>
      </c>
      <c r="D9" s="11" t="n">
        <f aca="false">C9/3600</f>
        <v>0.0111111111111111</v>
      </c>
      <c r="E9" s="14" t="n">
        <f aca="false">(D9/'2 เวียร์'!$C$5)^0.4-'1 ข้อมูล'!$C$21</f>
        <v>0.145096125168743</v>
      </c>
      <c r="F9" s="15" t="n">
        <f aca="false">E9*100</f>
        <v>14.5096125168743</v>
      </c>
      <c r="G9" s="10" t="n">
        <f aca="false">'1 ข้อมูล'!$C$10+E9</f>
        <v>0.745096125168743</v>
      </c>
    </row>
    <row r="10" customFormat="false" ht="15" hidden="false" customHeight="false" outlineLevel="0" collapsed="false">
      <c r="B10" s="4" t="s">
        <v>64</v>
      </c>
      <c r="C10" s="7" t="n">
        <f aca="false">'1 ข้อมูล'!$C$16-'1 ข้อมูล'!$C$8</f>
        <v>52.7916666666667</v>
      </c>
      <c r="D10" s="11" t="n">
        <f aca="false">C10/3600</f>
        <v>0.0146643518518519</v>
      </c>
      <c r="E10" s="14" t="n">
        <f aca="false">(D10/'2 เวียร์'!$C$5)^0.4-'1 ข้อมูล'!$C$21</f>
        <v>0.162227754127948</v>
      </c>
      <c r="F10" s="15" t="n">
        <f aca="false">E10*100</f>
        <v>16.2227754127948</v>
      </c>
      <c r="G10" s="10" t="n">
        <f aca="false">'1 ข้อมูล'!$C$10+E10</f>
        <v>0.762227754127948</v>
      </c>
    </row>
    <row r="11" customFormat="false" ht="15" hidden="false" customHeight="false" outlineLevel="0" collapsed="false">
      <c r="B11" s="4" t="s">
        <v>65</v>
      </c>
      <c r="C11" s="7" t="n">
        <f aca="false">'1 ข้อมูล'!$C$7-'1 ข้อมูล'!$C$8</f>
        <v>90</v>
      </c>
      <c r="D11" s="11" t="n">
        <f aca="false">C11/3600</f>
        <v>0.025</v>
      </c>
      <c r="E11" s="14" t="n">
        <f aca="false">(D11/'2 เวียร์'!$C$5)^0.4-'1 ข้อมูล'!$C$21</f>
        <v>0.201017115002301</v>
      </c>
      <c r="F11" s="15" t="n">
        <f aca="false">E11*100</f>
        <v>20.1017115002301</v>
      </c>
      <c r="G11" s="10" t="n">
        <f aca="false">'1 ข้อมูล'!$C$10+E11</f>
        <v>0.801017115002301</v>
      </c>
    </row>
    <row r="12" customFormat="false" ht="15" hidden="false" customHeight="false" outlineLevel="0" collapsed="false">
      <c r="B12" s="4" t="s">
        <v>66</v>
      </c>
      <c r="C12" s="7" t="n">
        <f aca="false">'1 ข้อมูล'!$C$7</f>
        <v>100</v>
      </c>
      <c r="D12" s="11" t="n">
        <f aca="false">C12/3600</f>
        <v>0.0277777777777778</v>
      </c>
      <c r="E12" s="14" t="n">
        <f aca="false">(D12/'2 เวียร์'!$C$5)^0.4-'1 ข้อมูล'!$C$21</f>
        <v>0.209706461048468</v>
      </c>
      <c r="F12" s="15" t="n">
        <f aca="false">E12*100</f>
        <v>20.9706461048468</v>
      </c>
      <c r="G12" s="10" t="n">
        <f aca="false">'1 ข้อมูล'!$C$10+E12</f>
        <v>0.809706461048468</v>
      </c>
    </row>
    <row r="13" customFormat="false" ht="15" hidden="false" customHeight="false" outlineLevel="0" collapsed="false">
      <c r="B13" s="16"/>
    </row>
    <row r="15" customFormat="false" ht="15" hidden="false" customHeight="false" outlineLevel="0" collapsed="false">
      <c r="B15" s="8" t="s">
        <v>67</v>
      </c>
      <c r="C15" s="9"/>
      <c r="D15" s="9"/>
      <c r="E15" s="9"/>
      <c r="F15" s="9"/>
      <c r="G15" s="9"/>
    </row>
    <row r="16" customFormat="false" ht="15" hidden="false" customHeight="false" outlineLevel="0" collapsed="false">
      <c r="B16" s="3" t="s">
        <v>68</v>
      </c>
      <c r="C16" s="3" t="s">
        <v>69</v>
      </c>
      <c r="D16" s="3" t="s">
        <v>70</v>
      </c>
      <c r="E16" s="3" t="s">
        <v>71</v>
      </c>
      <c r="F16" s="3"/>
      <c r="G16" s="3"/>
    </row>
    <row r="17" customFormat="false" ht="15" hidden="false" customHeight="false" outlineLevel="0" collapsed="false">
      <c r="B17" s="4" t="s">
        <v>72</v>
      </c>
      <c r="C17" s="4" t="s">
        <v>73</v>
      </c>
      <c r="D17" s="10" t="n">
        <f aca="false">E9</f>
        <v>0.145096125168743</v>
      </c>
      <c r="E17" s="13" t="str">
        <f aca="false">IF(D17&gt;=0.05,"ผ่าน ✔","ไม่ผ่าน ✘")</f>
        <v>ผ่าน ✔</v>
      </c>
      <c r="F17" s="4"/>
      <c r="G17" s="4"/>
    </row>
    <row r="18" customFormat="false" ht="15" hidden="false" customHeight="false" outlineLevel="0" collapsed="false">
      <c r="B18" s="4" t="s">
        <v>74</v>
      </c>
      <c r="C18" s="4" t="s">
        <v>75</v>
      </c>
      <c r="D18" s="10" t="n">
        <f aca="false">E12</f>
        <v>0.209706461048468</v>
      </c>
      <c r="E18" s="13" t="str">
        <f aca="false">IF(D18&lt;=0.38,"ผ่าน ✔","ไม่ผ่าน ✘")</f>
        <v>ผ่าน ✔</v>
      </c>
      <c r="F18" s="4"/>
      <c r="G18" s="4"/>
    </row>
    <row r="19" customFormat="false" ht="15" hidden="false" customHeight="false" outlineLevel="0" collapsed="false">
      <c r="B19" s="4" t="s">
        <v>76</v>
      </c>
      <c r="C19" s="4" t="s">
        <v>77</v>
      </c>
      <c r="D19" s="17" t="n">
        <f aca="false">E12/'1 ข้อมูล'!$C$10</f>
        <v>0.349510768414113</v>
      </c>
      <c r="E19" s="13" t="str">
        <f aca="false">IF(D19&lt;=0.4,"ผ่าน ✔","ไม่ผ่าน ✘")</f>
        <v>ผ่าน ✔</v>
      </c>
      <c r="F19" s="4"/>
      <c r="G19" s="4"/>
    </row>
    <row r="20" customFormat="false" ht="15" hidden="false" customHeight="false" outlineLevel="0" collapsed="false">
      <c r="B20" s="4" t="s">
        <v>78</v>
      </c>
      <c r="C20" s="4" t="s">
        <v>79</v>
      </c>
      <c r="D20" s="17" t="n">
        <f aca="false">E12/'1 ข้อมูล'!$C$9</f>
        <v>0.174755384207057</v>
      </c>
      <c r="E20" s="13" t="str">
        <f aca="false">IF(D20&lt;=0.2,"ผ่าน ✔","ไม่ผ่าน ✘")</f>
        <v>ผ่าน ✔</v>
      </c>
      <c r="F20" s="4"/>
      <c r="G20" s="4"/>
    </row>
    <row r="21" customFormat="false" ht="15" hidden="false" customHeight="false" outlineLevel="0" collapsed="false">
      <c r="B21" s="4" t="s">
        <v>80</v>
      </c>
      <c r="C21" s="4" t="s">
        <v>81</v>
      </c>
      <c r="D21" s="17" t="n">
        <f aca="false">'1 ข้อมูล'!$C$10</f>
        <v>0.6</v>
      </c>
      <c r="E21" s="13" t="str">
        <f aca="false">IF(D21&gt;=0.45,"ผ่าน ✔","ไม่ผ่าน ✘")</f>
        <v>ผ่าน ✔</v>
      </c>
      <c r="F21" s="4"/>
      <c r="G21" s="4"/>
    </row>
    <row r="22" customFormat="false" ht="15" hidden="false" customHeight="false" outlineLevel="0" collapsed="false">
      <c r="B22" s="4" t="s">
        <v>82</v>
      </c>
      <c r="C22" s="4" t="s">
        <v>83</v>
      </c>
      <c r="D22" s="17" t="n">
        <f aca="false">'1 ข้อมูล'!$C$9</f>
        <v>1.2</v>
      </c>
      <c r="E22" s="13" t="str">
        <f aca="false">IF(D22&gt;=0.9,"ผ่าน ✔","ไม่ผ่าน ✘")</f>
        <v>ผ่าน ✔</v>
      </c>
      <c r="F22" s="4"/>
      <c r="G22" s="4"/>
    </row>
    <row r="23" customFormat="false" ht="15" hidden="false" customHeight="false" outlineLevel="0" collapsed="false">
      <c r="B23" s="4" t="s">
        <v>84</v>
      </c>
      <c r="C23" s="4" t="s">
        <v>85</v>
      </c>
      <c r="D23" s="10" t="n">
        <f aca="false">'1 ข้อมูล'!$C$11-E12</f>
        <v>0.0902935389515321</v>
      </c>
      <c r="E23" s="13" t="str">
        <f aca="false">IF(D23&gt;=0.08,"ผ่าน ✔","ไม่ผ่าน ✘")</f>
        <v>ผ่าน ✔</v>
      </c>
      <c r="F23" s="4"/>
      <c r="G23" s="4"/>
    </row>
    <row r="24" customFormat="false" ht="15" hidden="false" customHeight="false" outlineLevel="0" collapsed="false">
      <c r="B24" s="4" t="s">
        <v>86</v>
      </c>
      <c r="C24" s="4" t="s">
        <v>87</v>
      </c>
      <c r="D24" s="7" t="n">
        <f aca="false">'1 ข้อมูล'!$C$12/E12</f>
        <v>10.4908546403419</v>
      </c>
      <c r="E24" s="13" t="str">
        <f aca="false">IF(D24&gt;=10,"ผ่าน ✔","ไม่ผ่าน ✘")</f>
        <v>ผ่าน ✔</v>
      </c>
      <c r="F24" s="4"/>
      <c r="G24" s="4"/>
    </row>
    <row r="25" customFormat="false" ht="15" hidden="false" customHeight="false" outlineLevel="0" collapsed="false">
      <c r="B25" s="4" t="s">
        <v>88</v>
      </c>
      <c r="C25" s="4" t="s">
        <v>89</v>
      </c>
      <c r="D25" s="7" t="n">
        <f aca="false">'1 ข้อมูล'!$C$13/E12</f>
        <v>4.76857029106451</v>
      </c>
      <c r="E25" s="13" t="str">
        <f aca="false">IF(AND(D25&gt;=4,D25&lt;=5),"ผ่าน ✔","ไม่ผ่าน ✘")</f>
        <v>ผ่าน ✔</v>
      </c>
      <c r="F25" s="4"/>
      <c r="G25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90</v>
      </c>
    </row>
    <row r="2" customFormat="false" ht="15" hidden="false" customHeight="false" outlineLevel="0" collapsed="false">
      <c r="B2" s="2" t="s">
        <v>91</v>
      </c>
    </row>
    <row r="4" customFormat="false" ht="57.75" hidden="false" customHeight="true" outlineLevel="0" collapsed="false">
      <c r="B4" s="3" t="s">
        <v>57</v>
      </c>
      <c r="C4" s="3" t="s">
        <v>92</v>
      </c>
      <c r="D4" s="3" t="s">
        <v>93</v>
      </c>
      <c r="E4" s="3" t="s">
        <v>94</v>
      </c>
      <c r="F4" s="3" t="s">
        <v>95</v>
      </c>
      <c r="G4" s="3" t="s">
        <v>96</v>
      </c>
      <c r="H4" s="3" t="s">
        <v>97</v>
      </c>
      <c r="I4" s="3" t="s">
        <v>98</v>
      </c>
    </row>
    <row r="5" customFormat="false" ht="15" hidden="false" customHeight="false" outlineLevel="0" collapsed="false">
      <c r="B5" s="4" t="s">
        <v>63</v>
      </c>
      <c r="C5" s="7" t="n">
        <f aca="false">'1 ข้อมูล'!$C$6-'1 ข้อมูล'!$C$8</f>
        <v>40</v>
      </c>
      <c r="D5" s="11" t="n">
        <f aca="false">C5/3600</f>
        <v>0.0111111111111111</v>
      </c>
      <c r="E5" s="7" t="n">
        <f aca="false">(D5/('1 ข้อมูล'!$C$22*'1 ข้อมูล'!$C$9))^(2/3)*100</f>
        <v>2.93656046563664</v>
      </c>
      <c r="F5" s="15" t="n">
        <f aca="false">'1 ข้อมูล'!$C$15*100+E5</f>
        <v>4.93656046563664</v>
      </c>
      <c r="G5" s="17" t="n">
        <f aca="false">D5/('1 ข้อมูล'!$C$9*F5/100)</f>
        <v>0.187564992340576</v>
      </c>
      <c r="H5" s="17" t="n">
        <f aca="false">G5/SQRT('1 ข้อมูล'!$C$19*F5/100)</f>
        <v>0.269528720442653</v>
      </c>
      <c r="I5" s="13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4" t="s">
        <v>64</v>
      </c>
      <c r="C6" s="7" t="n">
        <f aca="false">'1 ข้อมูล'!$C$16-'1 ข้อมูล'!$C$8</f>
        <v>52.7916666666667</v>
      </c>
      <c r="D6" s="11" t="n">
        <f aca="false">C6/3600</f>
        <v>0.0146643518518519</v>
      </c>
      <c r="E6" s="7" t="n">
        <f aca="false">(D6/('1 ข้อมูล'!$C$22*'1 ข้อมูล'!$C$9))^(2/3)*100</f>
        <v>3.53326221375287</v>
      </c>
      <c r="F6" s="15" t="n">
        <f aca="false">'1 ข้อมูล'!$C$15*100+E6</f>
        <v>5.53326221375287</v>
      </c>
      <c r="G6" s="17" t="n">
        <f aca="false">D6/('1 ข้อมูล'!$C$9*F6/100)</f>
        <v>0.220851511058036</v>
      </c>
      <c r="H6" s="17" t="n">
        <f aca="false">G6/SQRT('1 ข้อมูล'!$C$19*F6/100)</f>
        <v>0.29976108061034</v>
      </c>
      <c r="I6" s="13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4" t="s">
        <v>65</v>
      </c>
      <c r="C7" s="7" t="n">
        <f aca="false">'1 ข้อมูล'!$C$7-'1 ข้อมูล'!$C$8</f>
        <v>90</v>
      </c>
      <c r="D7" s="11" t="n">
        <f aca="false">C7/3600</f>
        <v>0.025</v>
      </c>
      <c r="E7" s="7" t="n">
        <f aca="false">(D7/('1 ข้อมูล'!$C$22*'1 ข้อมูล'!$C$9))^(2/3)*100</f>
        <v>5.04228388369996</v>
      </c>
      <c r="F7" s="15" t="n">
        <f aca="false">'1 ข้อมูล'!$C$15*100+E7</f>
        <v>7.04228388369996</v>
      </c>
      <c r="G7" s="17" t="n">
        <f aca="false">D7/('1 ข้อมูล'!$C$9*F7/100)</f>
        <v>0.295832057857737</v>
      </c>
      <c r="H7" s="17" t="n">
        <f aca="false">G7/SQRT('1 ข้อมูล'!$C$19*F7/100)</f>
        <v>0.35592129002886</v>
      </c>
      <c r="I7" s="13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4" t="s">
        <v>66</v>
      </c>
      <c r="C8" s="7" t="n">
        <f aca="false">'1 ข้อมูล'!$C$7</f>
        <v>100</v>
      </c>
      <c r="D8" s="11" t="n">
        <f aca="false">C8/3600</f>
        <v>0.0277777777777778</v>
      </c>
      <c r="E8" s="7" t="n">
        <f aca="false">(D8/('1 ข้อมูล'!$C$22*'1 ข้อมูล'!$C$9))^(2/3)*100</f>
        <v>5.40919062653374</v>
      </c>
      <c r="F8" s="15" t="n">
        <f aca="false">'1 ข้อมูล'!$C$15*100+E8</f>
        <v>7.40919062653374</v>
      </c>
      <c r="G8" s="17" t="n">
        <f aca="false">D8/('1 ข้อมูล'!$C$9*F8/100)</f>
        <v>0.312424788549105</v>
      </c>
      <c r="H8" s="17" t="n">
        <f aca="false">G8/SQRT('1 ข้อมูล'!$C$19*F8/100)</f>
        <v>0.36645917247664</v>
      </c>
      <c r="I8" s="13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8" t="s">
        <v>99</v>
      </c>
      <c r="C10" s="9"/>
      <c r="D10" s="9"/>
      <c r="E10" s="9"/>
      <c r="F10" s="9"/>
      <c r="G10" s="9"/>
      <c r="H10" s="9"/>
      <c r="I10" s="9"/>
    </row>
    <row r="11" customFormat="false" ht="15" hidden="false" customHeight="false" outlineLevel="0" collapsed="false">
      <c r="B11" s="18" t="s">
        <v>100</v>
      </c>
    </row>
    <row r="12" customFormat="false" ht="15" hidden="false" customHeight="false" outlineLevel="0" collapsed="false">
      <c r="B12" s="18" t="s">
        <v>101</v>
      </c>
    </row>
    <row r="13" customFormat="false" ht="15" hidden="false" customHeight="false" outlineLevel="0" collapsed="false">
      <c r="B13" s="18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46"/>
  </cols>
  <sheetData>
    <row r="1" customFormat="false" ht="18.65" hidden="false" customHeight="false" outlineLevel="0" collapsed="false">
      <c r="B1" s="1" t="s">
        <v>103</v>
      </c>
    </row>
    <row r="2" customFormat="false" ht="15" hidden="false" customHeight="false" outlineLevel="0" collapsed="false">
      <c r="B2" s="2" t="s">
        <v>104</v>
      </c>
    </row>
    <row r="4" customFormat="false" ht="15" hidden="false" customHeight="false" outlineLevel="0" collapsed="false">
      <c r="B4" s="3" t="s">
        <v>105</v>
      </c>
      <c r="C4" s="3" t="s">
        <v>15</v>
      </c>
      <c r="D4" s="3" t="s">
        <v>106</v>
      </c>
    </row>
    <row r="5" customFormat="false" ht="15" hidden="false" customHeight="false" outlineLevel="0" collapsed="false">
      <c r="B5" s="4" t="s">
        <v>107</v>
      </c>
      <c r="C5" s="19" t="n">
        <f aca="false">C6+0.2</f>
        <v>1.18155438703751</v>
      </c>
      <c r="D5" s="4" t="s">
        <v>108</v>
      </c>
    </row>
    <row r="6" customFormat="false" ht="15" hidden="false" customHeight="false" outlineLevel="0" collapsed="false">
      <c r="B6" s="4" t="s">
        <v>109</v>
      </c>
      <c r="C6" s="19" t="n">
        <f aca="false">C8+'3 ช่องโชว์น้ำ'!F8/100+1.5*'3 ช่องโชว์น้ำ'!G8^2/(2*'1 ข้อมูล'!$C$19)</f>
        <v>0.981554387037505</v>
      </c>
      <c r="D6" s="4" t="s">
        <v>110</v>
      </c>
    </row>
    <row r="7" customFormat="false" ht="15" hidden="false" customHeight="false" outlineLevel="0" collapsed="false">
      <c r="B7" s="4" t="s">
        <v>111</v>
      </c>
      <c r="C7" s="19" t="n">
        <f aca="false">C8+'1 ข้อมูล'!$C$15</f>
        <v>0.92</v>
      </c>
      <c r="D7" s="4" t="s">
        <v>112</v>
      </c>
    </row>
    <row r="8" customFormat="false" ht="15" hidden="false" customHeight="false" outlineLevel="0" collapsed="false">
      <c r="B8" s="4" t="s">
        <v>113</v>
      </c>
      <c r="C8" s="19" t="n">
        <f aca="false">'1 ข้อมูล'!$C$14</f>
        <v>0.9</v>
      </c>
      <c r="D8" s="4" t="s">
        <v>114</v>
      </c>
    </row>
    <row r="9" customFormat="false" ht="15" hidden="false" customHeight="false" outlineLevel="0" collapsed="false">
      <c r="B9" s="4" t="s">
        <v>115</v>
      </c>
      <c r="C9" s="19" t="n">
        <f aca="false">'1 ข้อมูล'!$C$10+'1 ข้อมูล'!$C$11</f>
        <v>0.9</v>
      </c>
      <c r="D9" s="4" t="s">
        <v>116</v>
      </c>
    </row>
    <row r="10" customFormat="false" ht="15" hidden="false" customHeight="false" outlineLevel="0" collapsed="false">
      <c r="B10" s="4" t="s">
        <v>117</v>
      </c>
      <c r="C10" s="19" t="n">
        <f aca="false">'2 เวียร์'!G12</f>
        <v>0.809706461048468</v>
      </c>
      <c r="D10" s="4" t="s">
        <v>118</v>
      </c>
    </row>
    <row r="11" customFormat="false" ht="15" hidden="false" customHeight="false" outlineLevel="0" collapsed="false">
      <c r="B11" s="4" t="s">
        <v>119</v>
      </c>
      <c r="C11" s="19" t="n">
        <f aca="false">'1 ข้อมูล'!$C$10</f>
        <v>0.6</v>
      </c>
      <c r="D11" s="4" t="s">
        <v>80</v>
      </c>
    </row>
    <row r="12" customFormat="false" ht="15" hidden="false" customHeight="false" outlineLevel="0" collapsed="false">
      <c r="B12" s="4" t="s">
        <v>120</v>
      </c>
      <c r="C12" s="19" t="n">
        <f aca="false">'1 ข้อมูล'!$C$10-0.06</f>
        <v>0.54</v>
      </c>
      <c r="D12" s="4" t="s">
        <v>121</v>
      </c>
    </row>
    <row r="13" customFormat="false" ht="15" hidden="false" customHeight="false" outlineLevel="0" collapsed="false">
      <c r="B13" s="4" t="s">
        <v>122</v>
      </c>
      <c r="C13" s="19" t="n">
        <v>0</v>
      </c>
      <c r="D13" s="4"/>
    </row>
    <row r="15" customFormat="false" ht="15" hidden="false" customHeight="false" outlineLevel="0" collapsed="false">
      <c r="B15" s="8" t="s">
        <v>123</v>
      </c>
      <c r="C15" s="9"/>
      <c r="D15" s="9"/>
    </row>
    <row r="16" customFormat="false" ht="15" hidden="false" customHeight="false" outlineLevel="0" collapsed="false">
      <c r="B16" s="4" t="s">
        <v>124</v>
      </c>
      <c r="C16" s="10" t="n">
        <f aca="false">C7-C10</f>
        <v>0.110293538951532</v>
      </c>
      <c r="D16" s="13" t="str">
        <f aca="false">IF(C16&gt;=0.1,"ผ่าน ✔ ม่านน้ำตกอิสระ","ไม่ผ่าน ✘ น้ำช่อง 3 จะย้อนขึ้นช่อง 2")</f>
        <v>ผ่าน ✔ ม่านน้ำตกอิสระ</v>
      </c>
    </row>
    <row r="17" customFormat="false" ht="15" hidden="false" customHeight="false" outlineLevel="0" collapsed="false">
      <c r="B17" s="4" t="s">
        <v>125</v>
      </c>
      <c r="C17" s="10" t="n">
        <f aca="false">C5-C6</f>
        <v>0.2</v>
      </c>
      <c r="D17" s="13" t="str">
        <f aca="false">IF(C17&gt;=0.15,"ผ่าน ✔","ไม่ผ่าน ✘")</f>
        <v>ผ่าน 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8.65" hidden="false" customHeight="false" outlineLevel="0" collapsed="false">
      <c r="B1" s="1" t="s">
        <v>126</v>
      </c>
    </row>
    <row r="2" customFormat="false" ht="15" hidden="false" customHeight="false" outlineLevel="0" collapsed="false">
      <c r="B2" s="2" t="s">
        <v>127</v>
      </c>
    </row>
    <row r="4" customFormat="false" ht="15" hidden="false" customHeight="false" outlineLevel="0" collapsed="false">
      <c r="B4" s="3" t="s">
        <v>128</v>
      </c>
      <c r="C4" s="3" t="s">
        <v>129</v>
      </c>
      <c r="D4" s="3" t="s">
        <v>130</v>
      </c>
      <c r="E4" s="3" t="s">
        <v>131</v>
      </c>
    </row>
    <row r="5" customFormat="false" ht="15" hidden="false" customHeight="false" outlineLevel="0" collapsed="false">
      <c r="B5" s="20" t="n">
        <v>5</v>
      </c>
      <c r="C5" s="7" t="n">
        <f aca="false">'2 เวียร์'!$C$5*(B5/100+'1 ข้อมูล'!$C$21)^2.5*3600</f>
        <v>2.86619650300861</v>
      </c>
      <c r="D5" s="17" t="n">
        <f aca="false">C5/3.6</f>
        <v>0.79616569528017</v>
      </c>
      <c r="E5" s="21" t="n">
        <f aca="false">C5*24</f>
        <v>68.7887160722067</v>
      </c>
    </row>
    <row r="6" customFormat="false" ht="15" hidden="false" customHeight="false" outlineLevel="0" collapsed="false">
      <c r="B6" s="20" t="n">
        <v>6</v>
      </c>
      <c r="C6" s="7" t="n">
        <f aca="false">'2 เวียร์'!$C$5*(B6/100+'1 ข้อมูล'!$C$21)^2.5*3600</f>
        <v>4.48983131905459</v>
      </c>
      <c r="D6" s="17" t="n">
        <f aca="false">C6/3.6</f>
        <v>1.24717536640405</v>
      </c>
      <c r="E6" s="21" t="n">
        <f aca="false">C6*24</f>
        <v>107.75595165731</v>
      </c>
    </row>
    <row r="7" customFormat="false" ht="15" hidden="false" customHeight="false" outlineLevel="0" collapsed="false">
      <c r="B7" s="20" t="n">
        <v>7</v>
      </c>
      <c r="C7" s="7" t="n">
        <f aca="false">'2 เวียร์'!$C$5*(B7/100+'1 ข้อมูล'!$C$21)^2.5*3600</f>
        <v>6.56792530595593</v>
      </c>
      <c r="D7" s="17" t="n">
        <f aca="false">C7/3.6</f>
        <v>1.82442369609887</v>
      </c>
      <c r="E7" s="21" t="n">
        <f aca="false">C7*24</f>
        <v>157.630207342942</v>
      </c>
    </row>
    <row r="8" customFormat="false" ht="15" hidden="false" customHeight="false" outlineLevel="0" collapsed="false">
      <c r="B8" s="20" t="n">
        <v>8</v>
      </c>
      <c r="C8" s="7" t="n">
        <f aca="false">'2 เวียร์'!$C$5*(B8/100+'1 ข้อมูล'!$C$21)^2.5*3600</f>
        <v>9.13647413844802</v>
      </c>
      <c r="D8" s="17" t="n">
        <f aca="false">C8/3.6</f>
        <v>2.53790948290223</v>
      </c>
      <c r="E8" s="21" t="n">
        <f aca="false">C8*24</f>
        <v>219.275379322752</v>
      </c>
    </row>
    <row r="9" customFormat="false" ht="15" hidden="false" customHeight="false" outlineLevel="0" collapsed="false">
      <c r="B9" s="20" t="n">
        <v>9</v>
      </c>
      <c r="C9" s="7" t="n">
        <f aca="false">'2 เวียร์'!$C$5*(B9/100+'1 ข้อมูล'!$C$21)^2.5*3600</f>
        <v>12.2289986697729</v>
      </c>
      <c r="D9" s="17" t="n">
        <f aca="false">C9/3.6</f>
        <v>3.39694407493691</v>
      </c>
      <c r="E9" s="21" t="n">
        <f aca="false">C9*24</f>
        <v>293.495968074549</v>
      </c>
    </row>
    <row r="10" customFormat="false" ht="15" hidden="false" customHeight="false" outlineLevel="0" collapsed="false">
      <c r="B10" s="20" t="n">
        <v>10</v>
      </c>
      <c r="C10" s="7" t="n">
        <f aca="false">'2 เวียร์'!$C$5*(B10/100+'1 ข้อมูล'!$C$21)^2.5*3600</f>
        <v>15.8769956216084</v>
      </c>
      <c r="D10" s="17" t="n">
        <f aca="false">C10/3.6</f>
        <v>4.4102765615579</v>
      </c>
      <c r="E10" s="21" t="n">
        <f aca="false">C10*24</f>
        <v>381.047894918602</v>
      </c>
    </row>
    <row r="11" customFormat="false" ht="15" hidden="false" customHeight="false" outlineLevel="0" collapsed="false">
      <c r="B11" s="20" t="n">
        <v>11</v>
      </c>
      <c r="C11" s="7" t="n">
        <f aca="false">'2 เวียร์'!$C$5*(B11/100+'1 ข้อมูล'!$C$21)^2.5*3600</f>
        <v>20.1102658699656</v>
      </c>
      <c r="D11" s="17" t="n">
        <f aca="false">C11/3.6</f>
        <v>5.58618496387933</v>
      </c>
      <c r="E11" s="21" t="n">
        <f aca="false">C11*24</f>
        <v>482.646380879174</v>
      </c>
    </row>
    <row r="12" customFormat="false" ht="15" hidden="false" customHeight="false" outlineLevel="0" collapsed="false">
      <c r="B12" s="20" t="n">
        <v>12</v>
      </c>
      <c r="C12" s="7" t="n">
        <f aca="false">'2 เวียร์'!$C$5*(B12/100+'1 ข้อมูล'!$C$21)^2.5*3600</f>
        <v>24.9571624264048</v>
      </c>
      <c r="D12" s="17" t="n">
        <f aca="false">C12/3.6</f>
        <v>6.93254511844577</v>
      </c>
      <c r="E12" s="21" t="n">
        <f aca="false">C12*24</f>
        <v>598.971898233715</v>
      </c>
    </row>
    <row r="13" customFormat="false" ht="15" hidden="false" customHeight="false" outlineLevel="0" collapsed="false">
      <c r="B13" s="20" t="n">
        <v>13</v>
      </c>
      <c r="C13" s="7" t="n">
        <f aca="false">'2 เวียร์'!$C$5*(B13/100+'1 ข้อมูล'!$C$21)^2.5*3600</f>
        <v>30.4447832233961</v>
      </c>
      <c r="D13" s="17" t="n">
        <f aca="false">C13/3.6</f>
        <v>8.45688422872113</v>
      </c>
      <c r="E13" s="21" t="n">
        <f aca="false">C13*24</f>
        <v>730.674797361505</v>
      </c>
    </row>
    <row r="14" customFormat="false" ht="15" hidden="false" customHeight="false" outlineLevel="0" collapsed="false">
      <c r="B14" s="20" t="n">
        <v>14</v>
      </c>
      <c r="C14" s="7" t="n">
        <f aca="false">'2 เวียร์'!$C$5*(B14/100+'1 ข้อมูล'!$C$21)^2.5*3600</f>
        <v>36.599124528368</v>
      </c>
      <c r="D14" s="17" t="n">
        <f aca="false">C14/3.6</f>
        <v>10.1664234801022</v>
      </c>
      <c r="E14" s="21" t="n">
        <f aca="false">C14*24</f>
        <v>878.378988680832</v>
      </c>
    </row>
    <row r="15" customFormat="false" ht="15" hidden="false" customHeight="false" outlineLevel="0" collapsed="false">
      <c r="B15" s="20" t="n">
        <v>15</v>
      </c>
      <c r="C15" s="7" t="n">
        <f aca="false">'2 เวียร์'!$C$5*(B15/100+'1 ข้อมูล'!$C$21)^2.5*3600</f>
        <v>43.4452054104805</v>
      </c>
      <c r="D15" s="17" t="n">
        <f aca="false">C15/3.6</f>
        <v>12.0681126140224</v>
      </c>
      <c r="E15" s="21" t="n">
        <f aca="false">C15*24</f>
        <v>1042.68492985153</v>
      </c>
    </row>
    <row r="16" customFormat="false" ht="15" hidden="false" customHeight="false" outlineLevel="0" collapsed="false">
      <c r="B16" s="20" t="n">
        <v>16</v>
      </c>
      <c r="C16" s="7" t="n">
        <f aca="false">'2 เวียร์'!$C$5*(B16/100+'1 ข้อมูล'!$C$21)^2.5*3600</f>
        <v>51.0071703805085</v>
      </c>
      <c r="D16" s="17" t="n">
        <f aca="false">C16/3.6</f>
        <v>14.1686584390301</v>
      </c>
      <c r="E16" s="21" t="n">
        <f aca="false">C16*24</f>
        <v>1224.1720891322</v>
      </c>
    </row>
    <row r="17" customFormat="false" ht="15" hidden="false" customHeight="false" outlineLevel="0" collapsed="false">
      <c r="B17" s="20" t="n">
        <v>17</v>
      </c>
      <c r="C17" s="7" t="n">
        <f aca="false">'2 เวียร์'!$C$5*(B17/100+'1 ข้อมูล'!$C$21)^2.5*3600</f>
        <v>59.3083752175669</v>
      </c>
      <c r="D17" s="17" t="n">
        <f aca="false">C17/3.6</f>
        <v>16.4745486715464</v>
      </c>
      <c r="E17" s="21" t="n">
        <f aca="false">C17*24</f>
        <v>1423.40100522161</v>
      </c>
    </row>
    <row r="18" customFormat="false" ht="15" hidden="false" customHeight="false" outlineLevel="0" collapsed="false">
      <c r="B18" s="20" t="n">
        <v>18</v>
      </c>
      <c r="C18" s="7" t="n">
        <f aca="false">'2 เวียร์'!$C$5*(B18/100+'1 ข้อมูล'!$C$21)^2.5*3600</f>
        <v>68.3714596053392</v>
      </c>
      <c r="D18" s="17" t="n">
        <f aca="false">C18/3.6</f>
        <v>18.9920721125942</v>
      </c>
      <c r="E18" s="21" t="n">
        <f aca="false">C18*24</f>
        <v>1640.91503052814</v>
      </c>
    </row>
    <row r="19" customFormat="false" ht="15" hidden="false" customHeight="false" outlineLevel="0" collapsed="false">
      <c r="B19" s="20" t="n">
        <v>19</v>
      </c>
      <c r="C19" s="7" t="n">
        <f aca="false">'2 เวียร์'!$C$5*(B19/100+'1 ข้อมูล'!$C$21)^2.5*3600</f>
        <v>78.2184092541632</v>
      </c>
      <c r="D19" s="17" t="n">
        <f aca="false">C19/3.6</f>
        <v>21.7273359039342</v>
      </c>
      <c r="E19" s="21" t="n">
        <f aca="false">C19*24</f>
        <v>1877.24182209992</v>
      </c>
    </row>
    <row r="20" customFormat="false" ht="15" hidden="false" customHeight="false" outlineLevel="0" collapsed="false">
      <c r="B20" s="20" t="n">
        <v>20</v>
      </c>
      <c r="C20" s="7" t="n">
        <f aca="false">'2 เวียร์'!$C$5*(B20/100+'1 ข้อมูล'!$C$21)^2.5*3600</f>
        <v>88.8706095248216</v>
      </c>
      <c r="D20" s="17" t="n">
        <f aca="false">C20/3.6</f>
        <v>24.6862804235616</v>
      </c>
      <c r="E20" s="21" t="n">
        <f aca="false">C20*24</f>
        <v>2132.89462859572</v>
      </c>
    </row>
    <row r="21" customFormat="false" ht="15" hidden="false" customHeight="false" outlineLevel="0" collapsed="false">
      <c r="B21" s="20" t="n">
        <v>21</v>
      </c>
      <c r="C21" s="7" t="n">
        <f aca="false">'2 เวียร์'!$C$5*(B21/100+'1 ข้อมูล'!$C$21)^2.5*3600</f>
        <v>100.348892098404</v>
      </c>
      <c r="D21" s="17" t="n">
        <f aca="false">C21/3.6</f>
        <v>27.8746922495567</v>
      </c>
      <c r="E21" s="21" t="n">
        <f aca="false">C21*24</f>
        <v>2408.3734103617</v>
      </c>
    </row>
    <row r="22" customFormat="false" ht="15" hidden="false" customHeight="false" outlineLevel="0" collapsed="false">
      <c r="B22" s="20" t="n">
        <v>22</v>
      </c>
      <c r="C22" s="7" t="n">
        <f aca="false">'2 เวียร์'!$C$5*(B22/100+'1 ข้อมูล'!$C$21)^2.5*3600</f>
        <v>112.673575893332</v>
      </c>
      <c r="D22" s="17" t="n">
        <f aca="false">C22/3.6</f>
        <v>31.2982155259257</v>
      </c>
      <c r="E22" s="21" t="n">
        <f aca="false">C22*24</f>
        <v>2704.16582143998</v>
      </c>
    </row>
    <row r="23" customFormat="false" ht="15" hidden="false" customHeight="false" outlineLevel="0" collapsed="false">
      <c r="B23" s="20" t="n">
        <v>23</v>
      </c>
      <c r="C23" s="7" t="n">
        <f aca="false">'2 เวียร์'!$C$5*(B23/100+'1 ข้อมูล'!$C$21)^2.5*3600</f>
        <v>125.864503176292</v>
      </c>
      <c r="D23" s="17" t="n">
        <f aca="false">C23/3.6</f>
        <v>34.9623619934145</v>
      </c>
      <c r="E23" s="21" t="n">
        <f aca="false">C23*24</f>
        <v>3020.74807623101</v>
      </c>
    </row>
    <row r="24" customFormat="false" ht="15" hidden="false" customHeight="false" outlineLevel="0" collapsed="false">
      <c r="B24" s="20" t="n">
        <v>24</v>
      </c>
      <c r="C24" s="7" t="n">
        <f aca="false">'2 เวียร์'!$C$5*(B24/100+'1 ข้อมูล'!$C$21)^2.5*3600</f>
        <v>139.941071622383</v>
      </c>
      <c r="D24" s="17" t="n">
        <f aca="false">C24/3.6</f>
        <v>38.8725198951064</v>
      </c>
      <c r="E24" s="21" t="n">
        <f aca="false">C24*24</f>
        <v>3358.5857189372</v>
      </c>
    </row>
    <row r="25" customFormat="false" ht="15" hidden="false" customHeight="false" outlineLevel="0" collapsed="false">
      <c r="B25" s="20" t="n">
        <v>25</v>
      </c>
      <c r="C25" s="7" t="n">
        <f aca="false">'2 เวียร์'!$C$5*(B25/100+'1 ข้อมูล'!$C$21)^2.5*3600</f>
        <v>154.922262933655</v>
      </c>
      <c r="D25" s="17" t="n">
        <f aca="false">C25/3.6</f>
        <v>43.0339619260152</v>
      </c>
      <c r="E25" s="21" t="n">
        <f aca="false">C25*24</f>
        <v>3718.13431040771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2026-10-30T07:45:22Z</dcterms:created>
  <dc:creator>openpyxl</dc:creator>
  <dc:description/>
  <dc:language>en-US</dc:language>
  <cp:lastModifiedBy/>
  <dcterms:modified xsi:type="dcterms:W3CDTF">2026-10-30T07:45:22Z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