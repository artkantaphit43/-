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<sst xmlns="http://schemas.openxmlformats.org/spreadsheetml/2006/main" count="413" uniqueCount="315">
  <si>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</si>
  <si>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</si>
  <si>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</si>
  <si>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</si>
  <si>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</si>
  <si>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</si>
  <si>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</si>
  <si>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</si>
  <si>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</si>
  <si>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</si>
  <si>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</si>
  <si>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</si>
  <si>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</si>
  <si>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</si>
  <si>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</si>
  <si>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</si>
  <si>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</si>
  <si>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</si>
  <si>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</si>
  <si>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</si>
  <si>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</si>
  <si>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</si>
  <si>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</si>
  <si>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</si>
  <si>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</si>
  <si>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</si>
  <si>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</si>
  <si>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</si>
  <si>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</si>
  <si>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</si>
  <si>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</si>
  <si>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</si>
  <si>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</si>
  <si>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</si>
  <si>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</si>
  <si>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</si>
  <si>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</si>
  <si>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</si>
  <si>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</si>
  <si>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</si>
  <si>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</si>
  <si>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</si>
  <si>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</si>
  <si>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</si>
  <si>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</si>
  <si>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</si>
  <si>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</si>
  <si>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</si>
  <si>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</si>
  <si>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</si>
  <si>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</si>
  <si>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</si>
  <si>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</si>
  <si>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</si>
  <si>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</si>
  <si>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</si>
  <si>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</si>
  <si>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</si>
  <si>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</si>
  <si>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</si>
  <si>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</si>
  <si>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</si>
  <si>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</si>
  <si>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</si>
  <si>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</si>
  <si>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</si>
  <si>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</si>
  <si>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</si>
  <si>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</si>
  <si>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</si>
  <si>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</si>
  <si>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</si>
  <si>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</si>
  <si>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</si>
  <si>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</si>
  <si>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</si>
  <si>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</si>
  <si>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</si>
  <si>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</si>
  <si>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</si>
  <si>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</si>
  <si>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</si>
  <si>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</si>
  <si>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</si>
  <si>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</si>
  <si>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</si>
  <si>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</si>
  <si>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</si>
  <si>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</si>
  <si>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</si>
  <si>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</si>
  <si>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</si>
  <si>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</si>
  <si>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</si>
  <si>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</si>
  <si>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</si>
  <si>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</si>
  <si>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</si>
  <si>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</si>
  <si>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</si>
  <si>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</si>
  <si>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</si>
  <si>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</si>
  <si>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</si>
  <si>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</si>
  <si>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</si>
  <si>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</si>
  <si>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</si>
  <si>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</si>
  <si>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</si>
  <si>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</si>
  <si>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</si>
  <si>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</si>
  <si>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</si>
  <si>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</si>
  <si>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</si>
  <si>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</si>
  <si>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</si>
  <si>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</si>
  <si>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</si>
  <si>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</si>
  <si>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</si>
  <si>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</si>
  <si>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</si>
  <si>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</si>
  <si>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</si>
  <si>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</si>
  <si>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</si>
  <si>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</si>
  <si>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</si>
  <si>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</si>
  <si>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</si>
  <si>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</si>
  <si>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</si>
  <si>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</si>
  <si>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</si>
  <si>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</si>
  <si>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</si>
  <si>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</si>
  <si>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</si>
  <si>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</si>
  <si>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</si>
  <si>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</si>
  <si>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</si>
  <si>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</si>
  <si>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</si>
  <si>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</si>
  <si>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</si>
  <si>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</si>
  <si>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</si>
  <si>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</si>
  <si>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</si>
  <si>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</si>
  <si>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</si>
  <si>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</si>
  <si>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</si>
  <si>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</si>
  <si>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</si>
  <si>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</si>
  <si>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</si>
  <si>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</si>
  <si>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</si>
  <si>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</si>
  <si>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</si>
  <si>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</si>
  <si>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</si>
  <si>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</si>
  <si>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</si>
  <si>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</si>
  <si>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</si>
  <si>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</si>
  <si>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</si>
  <si>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(ให้ฟองอากาศลอยหมดก่อนถึงแผ่นรูพรุน)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</si>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</sst>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2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0.2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0.2</v>
      </c>
      <c r="D36" s="6" t="s">
        <v>19</v>
      </c>
      <c r="E36" s="6"/>
    </row>
    <row r="37" customFormat="false" ht="15" hidden="false" customHeight="false" outlineLevel="0" collapsed="false">
      <c r="B37" s="6" t="s">
        <v>64</v>
      </c>
      <c r="C37" s="10" t="n">
        <v>0.05</v>
      </c>
      <c r="D37" s="6" t="s">
        <v>19</v>
      </c>
      <c r="E37" s="6" t="s">
        <v>65</v>
      </c>
    </row>
    <row r="39" customFormat="false" ht="15" hidden="false" customHeight="false" outlineLevel="0" collapsed="false">
      <c r="B39" s="4" t="s">
        <v>66</v>
      </c>
      <c r="C39" s="5"/>
      <c r="D39" s="5"/>
      <c r="E39" s="5"/>
    </row>
    <row r="40" customFormat="false" ht="15" hidden="false" customHeight="false" outlineLevel="0" collapsed="false">
      <c r="B40" s="6" t="s">
        <v>67</v>
      </c>
      <c r="C40" s="12" t="n">
        <v>9.81</v>
      </c>
      <c r="D40" s="6" t="s">
        <v>68</v>
      </c>
      <c r="E40" s="6"/>
    </row>
    <row r="41" customFormat="false" ht="15" hidden="false" customHeight="false" outlineLevel="0" collapsed="false">
      <c r="B41" s="6" t="s">
        <v>69</v>
      </c>
      <c r="C41" s="12" t="n">
        <v>9.81</v>
      </c>
      <c r="D41" s="6" t="s">
        <v>70</v>
      </c>
      <c r="E41" s="6"/>
    </row>
    <row r="42" customFormat="false" ht="15" hidden="false" customHeight="false" outlineLevel="0" collapsed="false">
      <c r="B42" s="6" t="s">
        <v>71</v>
      </c>
      <c r="C42" s="13" t="n">
        <v>1.38</v>
      </c>
      <c r="D42" s="6" t="s">
        <v>72</v>
      </c>
      <c r="E42" s="6" t="s">
        <v>73</v>
      </c>
    </row>
    <row r="43" customFormat="false" ht="15" hidden="false" customHeight="false" outlineLevel="0" collapsed="false">
      <c r="B43" s="6" t="s">
        <v>74</v>
      </c>
      <c r="C43" s="13" t="n">
        <v>0.578</v>
      </c>
      <c r="D43" s="6" t="s">
        <v>72</v>
      </c>
      <c r="E43" s="6" t="s">
        <v>75</v>
      </c>
    </row>
    <row r="44" customFormat="false" ht="15" hidden="false" customHeight="false" outlineLevel="0" collapsed="false">
      <c r="B44" s="6" t="s">
        <v>76</v>
      </c>
      <c r="C44" s="14" t="n">
        <v>0.00085</v>
      </c>
      <c r="D44" s="6" t="s">
        <v>19</v>
      </c>
      <c r="E44" s="6" t="s">
        <v>75</v>
      </c>
    </row>
    <row r="45" customFormat="false" ht="15" hidden="false" customHeight="false" outlineLevel="0" collapsed="false">
      <c r="B45" s="6" t="s">
        <v>77</v>
      </c>
      <c r="C45" s="12" t="n">
        <v>1.84</v>
      </c>
      <c r="D45" s="6" t="s">
        <v>72</v>
      </c>
      <c r="E45" s="6" t="s">
        <v>78</v>
      </c>
    </row>
    <row r="46" customFormat="false" ht="15" hidden="false" customHeight="false" outlineLevel="0" collapsed="false">
      <c r="B46" s="6" t="s">
        <v>79</v>
      </c>
      <c r="C46" s="12" t="n">
        <v>0.6</v>
      </c>
      <c r="D46" s="6" t="s">
        <v>72</v>
      </c>
      <c r="E46" s="6" t="s">
        <v>80</v>
      </c>
    </row>
    <row r="47" customFormat="false" ht="15" hidden="false" customHeight="false" outlineLevel="0" collapsed="false">
      <c r="B47" s="6" t="s">
        <v>81</v>
      </c>
      <c r="C47" s="15" t="n">
        <v>205</v>
      </c>
      <c r="D47" s="6" t="s">
        <v>82</v>
      </c>
      <c r="E47" s="6"/>
    </row>
    <row r="48" customFormat="false" ht="15" hidden="false" customHeight="false" outlineLevel="0" collapsed="false">
      <c r="B48" s="6" t="s">
        <v>83</v>
      </c>
      <c r="C48" s="15" t="n">
        <v>400</v>
      </c>
      <c r="D48" s="6" t="s">
        <v>82</v>
      </c>
      <c r="E48" s="6"/>
    </row>
    <row r="49" customFormat="false" ht="15" hidden="false" customHeight="false" outlineLevel="0" collapsed="false">
      <c r="B49" s="6" t="s">
        <v>84</v>
      </c>
      <c r="C49" s="9" t="n">
        <v>1.7</v>
      </c>
      <c r="D49" s="6" t="s">
        <v>72</v>
      </c>
      <c r="E49" s="6"/>
    </row>
    <row r="51" customFormat="false" ht="15" hidden="false" customHeight="false" outlineLevel="0" collapsed="false">
      <c r="B51" s="4" t="s">
        <v>85</v>
      </c>
      <c r="C51" s="5"/>
      <c r="D51" s="5"/>
      <c r="E51" s="5"/>
    </row>
    <row r="52" customFormat="false" ht="15" hidden="false" customHeight="false" outlineLevel="0" collapsed="false">
      <c r="B52" s="6" t="s">
        <v>86</v>
      </c>
      <c r="C52" s="16" t="s">
        <v>87</v>
      </c>
      <c r="D52" s="6"/>
      <c r="E52" s="6" t="s">
        <v>88</v>
      </c>
    </row>
    <row r="53" customFormat="false" ht="15" hidden="false" customHeight="false" outlineLevel="0" collapsed="false">
      <c r="B53" s="6" t="s">
        <v>89</v>
      </c>
      <c r="C53" s="17" t="s">
        <v>90</v>
      </c>
      <c r="D53" s="6"/>
      <c r="E53" s="6" t="s">
        <v>91</v>
      </c>
    </row>
    <row r="54" customFormat="false" ht="15" hidden="false" customHeight="false" outlineLevel="0" collapsed="false">
      <c r="B54" s="6" t="s">
        <v>92</v>
      </c>
      <c r="C54" s="6" t="s">
        <v>93</v>
      </c>
      <c r="D54" s="6"/>
      <c r="E54" s="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95</v>
      </c>
    </row>
    <row r="2" customFormat="false" ht="15" hidden="false" customHeight="false" outlineLevel="0" collapsed="false">
      <c r="B2" s="2" t="s">
        <v>96</v>
      </c>
    </row>
    <row r="4" customFormat="false" ht="15" hidden="false" customHeight="false" outlineLevel="0" collapsed="false">
      <c r="B4" s="4" t="s">
        <v>97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98</v>
      </c>
      <c r="C5" s="13" t="n">
        <f aca="false">'1 ข้อมูล'!$C$42</f>
        <v>1.38</v>
      </c>
      <c r="D5" s="6" t="s">
        <v>72</v>
      </c>
      <c r="E5" s="6" t="s">
        <v>99</v>
      </c>
      <c r="F5" s="6"/>
      <c r="G5" s="6"/>
      <c r="H5" s="6"/>
    </row>
    <row r="6" customFormat="false" ht="26.85" hidden="false" customHeight="false" outlineLevel="0" collapsed="false">
      <c r="B6" s="6" t="s">
        <v>100</v>
      </c>
      <c r="C6" s="18" t="n">
        <f aca="false">'1 ข้อมูล'!$C$43*(8/15)*SQRT(2*'1 ข้อมูล'!$C$40)</f>
        <v>1.36545083661038</v>
      </c>
      <c r="D6" s="6" t="s">
        <v>72</v>
      </c>
      <c r="E6" s="6" t="s">
        <v>101</v>
      </c>
      <c r="F6" s="6"/>
      <c r="G6" s="6"/>
      <c r="H6" s="6"/>
    </row>
    <row r="8" customFormat="false" ht="15" hidden="false" customHeight="false" outlineLevel="0" collapsed="false">
      <c r="B8" s="4" t="s">
        <v>102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103</v>
      </c>
      <c r="C9" s="3" t="s">
        <v>104</v>
      </c>
      <c r="D9" s="3" t="s">
        <v>105</v>
      </c>
      <c r="E9" s="3" t="s">
        <v>106</v>
      </c>
      <c r="F9" s="3" t="s">
        <v>107</v>
      </c>
      <c r="G9" s="3" t="s">
        <v>108</v>
      </c>
      <c r="H9" s="3" t="s">
        <v>109</v>
      </c>
    </row>
    <row r="10" customFormat="false" ht="15" hidden="false" customHeight="false" outlineLevel="0" collapsed="false">
      <c r="B10" s="6" t="s">
        <v>110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ข้อมูล'!$C$44)*100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111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ข้อมูล'!$C$44)*100</f>
        <v>16.2227754127948</v>
      </c>
      <c r="G11" s="20" t="n">
        <f aca="false">E11-F11</f>
        <v>0.0160089355143072</v>
      </c>
      <c r="H11" s="6" t="s">
        <v>112</v>
      </c>
    </row>
    <row r="12" customFormat="false" ht="15" hidden="false" customHeight="false" outlineLevel="0" collapsed="false">
      <c r="B12" s="6" t="s">
        <v>113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ข้อมูล'!$C$44)*100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114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ข้อมูล'!$C$44)*100</f>
        <v>20.9706461048468</v>
      </c>
      <c r="G13" s="20" t="n">
        <f aca="false">E13-F13</f>
        <v>-0.00407722858800952</v>
      </c>
      <c r="H13" s="6" t="s">
        <v>115</v>
      </c>
    </row>
    <row r="15" customFormat="false" ht="15" hidden="false" customHeight="false" outlineLevel="0" collapsed="false">
      <c r="B15" s="22" t="s">
        <v>116</v>
      </c>
    </row>
    <row r="16" customFormat="false" ht="15" hidden="false" customHeight="false" outlineLevel="0" collapsed="false">
      <c r="B16" s="22" t="s">
        <v>117</v>
      </c>
    </row>
    <row r="17" customFormat="false" ht="15" hidden="false" customHeight="false" outlineLevel="0" collapsed="false">
      <c r="B17" s="2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4" customFormat="false" ht="15" hidden="false" customHeight="false" outlineLevel="0" collapsed="false">
      <c r="B4" s="3" t="s">
        <v>2</v>
      </c>
      <c r="C4" s="3" t="s">
        <v>121</v>
      </c>
      <c r="D4" s="3" t="s">
        <v>122</v>
      </c>
      <c r="E4" s="3" t="s">
        <v>123</v>
      </c>
      <c r="F4" s="3" t="s">
        <v>4</v>
      </c>
      <c r="G4" s="3" t="s">
        <v>124</v>
      </c>
    </row>
    <row r="6" customFormat="false" ht="15" hidden="false" customHeight="false" outlineLevel="0" collapsed="false">
      <c r="B6" s="4" t="s">
        <v>125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126</v>
      </c>
      <c r="C7" s="6" t="s">
        <v>127</v>
      </c>
      <c r="D7" s="13"/>
      <c r="E7" s="23" t="n">
        <f aca="false">('2 เวียร์'!$E$13/100)</f>
        <v>0.209665688762588</v>
      </c>
      <c r="F7" s="6" t="s">
        <v>19</v>
      </c>
      <c r="G7" s="6" t="s">
        <v>128</v>
      </c>
    </row>
    <row r="8" customFormat="false" ht="15" hidden="false" customHeight="false" outlineLevel="0" collapsed="false">
      <c r="B8" s="6" t="s">
        <v>129</v>
      </c>
      <c r="C8" s="6" t="s">
        <v>130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131</v>
      </c>
    </row>
    <row r="9" customFormat="false" ht="26.85" hidden="false" customHeight="false" outlineLevel="0" collapsed="false">
      <c r="B9" s="6" t="s">
        <v>132</v>
      </c>
      <c r="C9" s="6" t="s">
        <v>133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134</v>
      </c>
    </row>
    <row r="10" customFormat="false" ht="15" hidden="false" customHeight="false" outlineLevel="0" collapsed="false">
      <c r="B10" s="6" t="s">
        <v>135</v>
      </c>
      <c r="C10" s="6" t="s">
        <v>136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137</v>
      </c>
    </row>
    <row r="11" customFormat="false" ht="15" hidden="false" customHeight="false" outlineLevel="0" collapsed="false">
      <c r="B11" s="6" t="s">
        <v>138</v>
      </c>
      <c r="C11" s="6" t="s">
        <v>139</v>
      </c>
      <c r="D11" s="13"/>
      <c r="E11" s="23" t="n">
        <f aca="false">2*'3 ขนาดบ่อ'!$E$10</f>
        <v>0.6</v>
      </c>
      <c r="F11" s="6" t="s">
        <v>19</v>
      </c>
      <c r="G11" s="6" t="s">
        <v>140</v>
      </c>
    </row>
    <row r="12" customFormat="false" ht="15" hidden="false" customHeight="false" outlineLevel="0" collapsed="false">
      <c r="B12" s="6" t="s">
        <v>141</v>
      </c>
      <c r="C12" s="6" t="s">
        <v>142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143</v>
      </c>
    </row>
    <row r="13" customFormat="false" ht="15" hidden="false" customHeight="false" outlineLevel="0" collapsed="false">
      <c r="B13" s="6" t="s">
        <v>144</v>
      </c>
      <c r="C13" s="6" t="s">
        <v>145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146</v>
      </c>
    </row>
    <row r="14" customFormat="false" ht="15" hidden="false" customHeight="false" outlineLevel="0" collapsed="false">
      <c r="B14" s="6" t="s">
        <v>147</v>
      </c>
      <c r="C14" s="6" t="s">
        <v>148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149</v>
      </c>
      <c r="C15" s="6" t="s">
        <v>150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151</v>
      </c>
      <c r="C16" s="6" t="s">
        <v>152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153</v>
      </c>
      <c r="C17" s="6" t="s">
        <v>154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155</v>
      </c>
    </row>
    <row r="19" customFormat="false" ht="15" hidden="false" customHeight="false" outlineLevel="0" collapsed="false">
      <c r="B19" s="4" t="s">
        <v>156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157</v>
      </c>
      <c r="C20" s="6" t="s">
        <v>158</v>
      </c>
      <c r="D20" s="13"/>
      <c r="E20" s="23" t="n">
        <f aca="false">'1 ข้อมูล'!$C$29/2+('2 เวียร์'!$D$13/('1 ข้อมูล'!$C$46*PI()*'1 ข้อมูล'!$C$29^2/4))^2/(2*'1 ข้อมูล'!$C$40)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159</v>
      </c>
      <c r="C21" s="6" t="s">
        <v>160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161</v>
      </c>
    </row>
    <row r="22" customFormat="false" ht="15" hidden="false" customHeight="false" outlineLevel="0" collapsed="false">
      <c r="B22" s="6" t="s">
        <v>162</v>
      </c>
      <c r="C22" s="6" t="s">
        <v>163</v>
      </c>
      <c r="D22" s="13"/>
      <c r="E22" s="23" t="n">
        <f aca="false">SQRT(2*'1 ข้อมูล'!$C$40*'3 ขนาดบ่อ'!$E$7)</f>
        <v>2.02821123493634</v>
      </c>
      <c r="F22" s="6" t="s">
        <v>34</v>
      </c>
      <c r="G22" s="6" t="s">
        <v>164</v>
      </c>
    </row>
    <row r="23" customFormat="false" ht="15" hidden="false" customHeight="false" outlineLevel="0" collapsed="false">
      <c r="B23" s="6" t="s">
        <v>165</v>
      </c>
      <c r="C23" s="6" t="s">
        <v>166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167</v>
      </c>
      <c r="C24" s="6" t="s">
        <v>168</v>
      </c>
      <c r="D24" s="13"/>
      <c r="E24" s="23" t="n">
        <f aca="false">'3 ขนาดบ่อ'!$E$22*SQRT(2*'3 ขนาดบ่อ'!$E$23/'1 ข้อมูล'!$C$40)</f>
        <v>0.708760700266562</v>
      </c>
      <c r="F24" s="6" t="s">
        <v>19</v>
      </c>
      <c r="G24" s="6" t="s">
        <v>169</v>
      </c>
    </row>
    <row r="25" customFormat="false" ht="15" hidden="false" customHeight="false" outlineLevel="0" collapsed="false">
      <c r="B25" s="6" t="s">
        <v>170</v>
      </c>
      <c r="C25" s="6" t="s">
        <v>171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172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173</v>
      </c>
      <c r="C28" s="6" t="s">
        <v>174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175</v>
      </c>
      <c r="C29" s="6" t="s">
        <v>176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177</v>
      </c>
      <c r="C30" s="6" t="s">
        <v>178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179</v>
      </c>
      <c r="C31" s="6" t="s">
        <v>180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/>
    </row>
    <row r="33" customFormat="false" ht="15" hidden="false" customHeight="false" outlineLevel="0" collapsed="false">
      <c r="B33" s="4" t="s">
        <v>181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182</v>
      </c>
      <c r="C34" s="6" t="s">
        <v>183</v>
      </c>
      <c r="D34" s="13"/>
      <c r="E34" s="23" t="n">
        <f aca="false">'1 ข้อมูล'!$C$17+('2 เวียร์'!$D$13/('1 ข้อมูล'!$C$45*'3 ขนาดบ่อ'!$E$9))^(2/3)</f>
        <v>0.0791280538460372</v>
      </c>
      <c r="F34" s="6" t="s">
        <v>19</v>
      </c>
      <c r="G34" s="6" t="s">
        <v>184</v>
      </c>
    </row>
    <row r="35" customFormat="false" ht="15" hidden="false" customHeight="false" outlineLevel="0" collapsed="false">
      <c r="B35" s="6" t="s">
        <v>185</v>
      </c>
      <c r="C35" s="6" t="s">
        <v>186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187</v>
      </c>
      <c r="C36" s="6" t="s">
        <v>188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189</v>
      </c>
    </row>
    <row r="37" customFormat="false" ht="15" hidden="false" customHeight="false" outlineLevel="0" collapsed="false">
      <c r="B37" s="6" t="s">
        <v>190</v>
      </c>
      <c r="C37" s="6" t="s">
        <v>191</v>
      </c>
      <c r="D37" s="13"/>
      <c r="E37" s="23" t="n">
        <f aca="false">'1 ข้อมูล'!$C$18</f>
        <v>2</v>
      </c>
      <c r="F37" s="6" t="s">
        <v>19</v>
      </c>
      <c r="G37" s="6"/>
    </row>
    <row r="38" customFormat="false" ht="15" hidden="false" customHeight="false" outlineLevel="0" collapsed="false">
      <c r="B38" s="6" t="s">
        <v>192</v>
      </c>
      <c r="C38" s="6"/>
      <c r="D38" s="13" t="n">
        <f aca="false">'3 ขนาดบ่อ'!$E$37-'3 ขนาดบ่อ'!$E$36</f>
        <v>1.2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193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194</v>
      </c>
      <c r="C41" s="6" t="s">
        <v>195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196</v>
      </c>
      <c r="C42" s="6" t="s">
        <v>197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198</v>
      </c>
      <c r="C43" s="6" t="s">
        <v>199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200</v>
      </c>
      <c r="C44" s="6" t="s">
        <v>201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202</v>
      </c>
      <c r="C45" s="6" t="s">
        <v>203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204</v>
      </c>
      <c r="C46" s="6" t="s">
        <v>205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206</v>
      </c>
      <c r="C47" s="6" t="s">
        <v>207</v>
      </c>
      <c r="D47" s="13"/>
      <c r="E47" s="23" t="n">
        <f aca="false">'3 ขนาดบ่อ'!$E$35+'3 ขนาดบ่อ'!$E$34+1.5*'3 ขนาดบ่อ'!$E$46^2/(2*'1 ข้อมูล'!$C$40)</f>
        <v>0.987673754729172</v>
      </c>
      <c r="F47" s="6" t="s">
        <v>19</v>
      </c>
      <c r="G47" s="6" t="s">
        <v>208</v>
      </c>
    </row>
    <row r="49" customFormat="false" ht="15" hidden="false" customHeight="false" outlineLevel="0" collapsed="false">
      <c r="B49" s="4" t="s">
        <v>209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210</v>
      </c>
      <c r="C50" s="6" t="s">
        <v>211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212</v>
      </c>
    </row>
    <row r="52" customFormat="false" ht="15" hidden="false" customHeight="false" outlineLevel="0" collapsed="false">
      <c r="B52" s="4" t="s">
        <v>213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214</v>
      </c>
      <c r="C53" s="6" t="s">
        <v>215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216</v>
      </c>
    </row>
    <row r="54" customFormat="false" ht="15" hidden="false" customHeight="false" outlineLevel="0" collapsed="false">
      <c r="B54" s="6" t="s">
        <v>217</v>
      </c>
      <c r="C54" s="6" t="s">
        <v>218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219</v>
      </c>
      <c r="C55" s="6" t="s">
        <v>220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221</v>
      </c>
    </row>
    <row r="56" customFormat="false" ht="15" hidden="false" customHeight="false" outlineLevel="0" collapsed="false">
      <c r="B56" s="6" t="s">
        <v>222</v>
      </c>
      <c r="C56" s="6" t="s">
        <v>223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224</v>
      </c>
      <c r="C57" s="6" t="s">
        <v>225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226</v>
      </c>
      <c r="C58" s="6" t="s">
        <v>227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228</v>
      </c>
      <c r="C59" s="6" t="s">
        <v>229</v>
      </c>
      <c r="D59" s="13"/>
      <c r="E59" s="23" t="n">
        <f aca="false">'1 ข้อมูล'!$C$41*'3 ขนาดบ่อ'!$E$58^3/6</f>
        <v>0.0485508704265308</v>
      </c>
      <c r="F59" s="6" t="s">
        <v>230</v>
      </c>
      <c r="G59" s="6" t="s">
        <v>231</v>
      </c>
    </row>
    <row r="60" customFormat="false" ht="15" hidden="false" customHeight="false" outlineLevel="0" collapsed="false">
      <c r="B60" s="6" t="s">
        <v>232</v>
      </c>
      <c r="C60" s="6" t="s">
        <v>233</v>
      </c>
      <c r="D60" s="13"/>
      <c r="E60" s="23" t="n">
        <f aca="false">'3 ขนาดบ่อ'!$E$59/('1 ข้อมูล'!$C$34^2/6)/1000</f>
        <v>8.09181173775513</v>
      </c>
      <c r="F60" s="6" t="s">
        <v>82</v>
      </c>
      <c r="G60" s="6"/>
    </row>
    <row r="61" customFormat="false" ht="15" hidden="false" customHeight="false" outlineLevel="0" collapsed="false">
      <c r="B61" s="6" t="s">
        <v>234</v>
      </c>
      <c r="C61" s="6" t="s">
        <v>235</v>
      </c>
      <c r="D61" s="13" t="n">
        <f aca="false">'3 ขนาดบ่อ'!$E$60</f>
        <v>8.09181173775513</v>
      </c>
      <c r="E61" s="17" t="str">
        <f aca="false">IF(D61&lt;=0.6*'1 ข้อมูล'!$C$47,"ผ่าน ✔","ไม่ผ่าน ✘")</f>
        <v>ผ่าน ✔</v>
      </c>
      <c r="F61" s="6"/>
      <c r="G61" s="6" t="s">
        <v>236</v>
      </c>
    </row>
    <row r="63" customFormat="false" ht="15" hidden="false" customHeight="false" outlineLevel="0" collapsed="false">
      <c r="B63" s="4" t="s">
        <v>237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238</v>
      </c>
      <c r="C64" s="6" t="s">
        <v>239</v>
      </c>
      <c r="D64" s="13"/>
      <c r="E64" s="23" t="n">
        <f aca="false">'1 ข้อมูล'!$C$41*'3 ขนาดบ่อ'!$E$50^3/6</f>
        <v>2.82528</v>
      </c>
      <c r="F64" s="6" t="s">
        <v>230</v>
      </c>
      <c r="G64" s="6" t="s">
        <v>240</v>
      </c>
    </row>
    <row r="65" customFormat="false" ht="15" hidden="false" customHeight="false" outlineLevel="0" collapsed="false">
      <c r="B65" s="6" t="s">
        <v>241</v>
      </c>
      <c r="C65" s="6" t="s">
        <v>242</v>
      </c>
      <c r="D65" s="13"/>
      <c r="E65" s="23" t="n">
        <f aca="false">'1 ข้อมูล'!$C$49*'3 ขนาดบ่อ'!$E$64</f>
        <v>4.802976</v>
      </c>
      <c r="F65" s="6" t="s">
        <v>230</v>
      </c>
      <c r="G65" s="6"/>
    </row>
    <row r="66" customFormat="false" ht="15" hidden="false" customHeight="false" outlineLevel="0" collapsed="false">
      <c r="B66" s="6" t="s">
        <v>243</v>
      </c>
      <c r="C66" s="6" t="s">
        <v>244</v>
      </c>
      <c r="D66" s="13"/>
      <c r="E66" s="23" t="n">
        <f aca="false">'1 ข้อมูล'!$C$35-'1 ข้อมูล'!$C$37-0.006</f>
        <v>0.144</v>
      </c>
      <c r="F66" s="6" t="s">
        <v>19</v>
      </c>
      <c r="G66" s="6" t="s">
        <v>245</v>
      </c>
    </row>
    <row r="67" customFormat="false" ht="15" hidden="false" customHeight="false" outlineLevel="0" collapsed="false">
      <c r="B67" s="6" t="s">
        <v>246</v>
      </c>
      <c r="C67" s="6" t="s">
        <v>247</v>
      </c>
      <c r="D67" s="13"/>
      <c r="E67" s="23" t="n">
        <f aca="false">'3 ขนาดบ่อ'!$E$65/(0.9*'1 ข้อมูล'!$C$48*1000*0.9*'3 ขนาดบ่อ'!$E$66)*1000000</f>
        <v>102.944444444444</v>
      </c>
      <c r="F67" s="6" t="s">
        <v>248</v>
      </c>
      <c r="G67" s="6"/>
    </row>
    <row r="68" customFormat="false" ht="15" hidden="false" customHeight="false" outlineLevel="0" collapsed="false">
      <c r="B68" s="6" t="s">
        <v>249</v>
      </c>
      <c r="C68" s="6" t="s">
        <v>250</v>
      </c>
      <c r="D68" s="13"/>
      <c r="E68" s="23" t="n">
        <f aca="false">0.003*1000*'1 ข้อมูล'!$C$35*1000</f>
        <v>600</v>
      </c>
      <c r="F68" s="6" t="s">
        <v>248</v>
      </c>
      <c r="G68" s="6" t="s">
        <v>251</v>
      </c>
    </row>
    <row r="69" customFormat="false" ht="15" hidden="false" customHeight="false" outlineLevel="0" collapsed="false">
      <c r="B69" s="6" t="s">
        <v>252</v>
      </c>
      <c r="C69" s="6" t="s">
        <v>253</v>
      </c>
      <c r="D69" s="13"/>
      <c r="E69" s="23" t="n">
        <f aca="false">FLOOR(113/MAX('3 ขนาดบ่อ'!$E$67,'3 ขนาดบ่อ'!$E$68)*1000,25)</f>
        <v>175</v>
      </c>
      <c r="F69" s="6" t="s">
        <v>254</v>
      </c>
      <c r="G69" s="6"/>
    </row>
    <row r="70" customFormat="false" ht="15" hidden="false" customHeight="false" outlineLevel="0" collapsed="false">
      <c r="B70" s="6" t="s">
        <v>255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256</v>
      </c>
    </row>
    <row r="72" customFormat="false" ht="15" hidden="false" customHeight="false" outlineLevel="0" collapsed="false">
      <c r="B72" s="4" t="s">
        <v>257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258</v>
      </c>
      <c r="C73" s="6" t="s">
        <v>259</v>
      </c>
      <c r="D73" s="13"/>
      <c r="E73" s="23" t="n">
        <f aca="false">'3 ขนาดบ่อ'!$E$31+'3 ขนาดบ่อ'!$E$12+'1 ข้อมูล'!$C$35+'3 ขนาดบ่อ'!$E$25</f>
        <v>3.75</v>
      </c>
      <c r="F73" s="6" t="s">
        <v>19</v>
      </c>
      <c r="G73" s="6"/>
    </row>
    <row r="74" customFormat="false" ht="15" hidden="false" customHeight="false" outlineLevel="0" collapsed="false">
      <c r="B74" s="6" t="s">
        <v>260</v>
      </c>
      <c r="C74" s="6" t="s">
        <v>261</v>
      </c>
      <c r="D74" s="13"/>
      <c r="E74" s="23" t="n">
        <f aca="false">'3 ขนาดบ่อ'!$E$45+'3 ขนาดบ่อ'!$E$37+'3 ขนาดบ่อ'!$E$73</f>
        <v>7.35</v>
      </c>
      <c r="F74" s="6" t="s">
        <v>19</v>
      </c>
      <c r="G74" s="6"/>
    </row>
    <row r="75" customFormat="false" ht="15" hidden="false" customHeight="false" outlineLevel="0" collapsed="false">
      <c r="B75" s="6" t="s">
        <v>262</v>
      </c>
      <c r="C75" s="6" t="s">
        <v>263</v>
      </c>
      <c r="D75" s="13"/>
      <c r="E75" s="23" t="n">
        <f aca="false">'3 ขนาดบ่อ'!$E$9</f>
        <v>1.05</v>
      </c>
      <c r="F75" s="6" t="s">
        <v>19</v>
      </c>
      <c r="G75" s="6"/>
    </row>
    <row r="76" customFormat="false" ht="15" hidden="false" customHeight="false" outlineLevel="0" collapsed="false">
      <c r="B76" s="6" t="s">
        <v>264</v>
      </c>
      <c r="C76" s="6" t="s">
        <v>265</v>
      </c>
      <c r="D76" s="13"/>
      <c r="E76" s="23" t="n">
        <f aca="false">'3 ขนาดบ่อ'!$E$50</f>
        <v>1.2</v>
      </c>
      <c r="F76" s="6" t="s">
        <v>19</v>
      </c>
      <c r="G76" s="6"/>
    </row>
    <row r="77" customFormat="false" ht="15" hidden="false" customHeight="false" outlineLevel="0" collapsed="false">
      <c r="B77" s="6" t="s">
        <v>266</v>
      </c>
      <c r="C77" s="6" t="s">
        <v>267</v>
      </c>
      <c r="D77" s="13"/>
      <c r="E77" s="23" t="n">
        <f aca="false">'3 ขนาดบ่อ'!$E$74+2*'1 ข้อมูล'!$C$35</f>
        <v>7.75</v>
      </c>
      <c r="F77" s="6" t="s">
        <v>19</v>
      </c>
      <c r="G77" s="6"/>
    </row>
    <row r="78" customFormat="false" ht="15" hidden="false" customHeight="false" outlineLevel="0" collapsed="false">
      <c r="B78" s="6" t="s">
        <v>268</v>
      </c>
      <c r="C78" s="6" t="s">
        <v>267</v>
      </c>
      <c r="D78" s="13"/>
      <c r="E78" s="23" t="n">
        <f aca="false">'3 ขนาดบ่อ'!$E$75+2*'1 ข้อมูล'!$C$35</f>
        <v>1.45</v>
      </c>
      <c r="F78" s="6" t="s">
        <v>19</v>
      </c>
      <c r="G78" s="6"/>
    </row>
    <row r="79" customFormat="false" ht="15" hidden="false" customHeight="false" outlineLevel="0" collapsed="false">
      <c r="B79" s="6" t="s">
        <v>269</v>
      </c>
      <c r="C79" s="6" t="s">
        <v>270</v>
      </c>
      <c r="D79" s="13"/>
      <c r="E79" s="23" t="n">
        <f aca="false">'3 ขนาดบ่อ'!$E$76+'1 ข้อมูล'!$C$36</f>
        <v>1.4</v>
      </c>
      <c r="F79" s="6" t="s">
        <v>19</v>
      </c>
      <c r="G7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271</v>
      </c>
    </row>
    <row r="2" customFormat="false" ht="15" hidden="false" customHeight="false" outlineLevel="0" collapsed="false">
      <c r="B2" s="2" t="s">
        <v>272</v>
      </c>
    </row>
    <row r="4" customFormat="false" ht="57.75" hidden="false" customHeight="true" outlineLevel="0" collapsed="false">
      <c r="B4" s="3" t="s">
        <v>103</v>
      </c>
      <c r="C4" s="3" t="s">
        <v>273</v>
      </c>
      <c r="D4" s="3" t="s">
        <v>274</v>
      </c>
      <c r="E4" s="3" t="s">
        <v>275</v>
      </c>
      <c r="F4" s="3" t="s">
        <v>276</v>
      </c>
      <c r="G4" s="3" t="s">
        <v>277</v>
      </c>
      <c r="H4" s="3" t="s">
        <v>278</v>
      </c>
      <c r="I4" s="3" t="s">
        <v>279</v>
      </c>
    </row>
    <row r="5" customFormat="false" ht="15" hidden="false" customHeight="false" outlineLevel="0" collapsed="false">
      <c r="B5" s="6" t="s">
        <v>110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ข้อมูล'!$C$45*'3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ข้อมูล'!$C$40*F5/100)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111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ข้อมูล'!$C$45*'3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ข้อมูล'!$C$40*F6/100)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113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ข้อมูล'!$C$45*'3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ข้อมูล'!$C$40*F7/100)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114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ข้อมูล'!$C$45*'3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ข้อมูล'!$C$40*F8/100)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280</v>
      </c>
    </row>
    <row r="11" customFormat="false" ht="15" hidden="false" customHeight="false" outlineLevel="0" collapsed="false">
      <c r="B11" s="22" t="s">
        <v>281</v>
      </c>
    </row>
    <row r="12" customFormat="false" ht="15" hidden="false" customHeight="false" outlineLevel="0" collapsed="false">
      <c r="B12" s="22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283</v>
      </c>
    </row>
    <row r="2" customFormat="false" ht="15" hidden="false" customHeight="false" outlineLevel="0" collapsed="false">
      <c r="B2" s="2" t="s">
        <v>284</v>
      </c>
    </row>
    <row r="4" customFormat="false" ht="15" hidden="false" customHeight="false" outlineLevel="0" collapsed="false">
      <c r="B4" s="3" t="s">
        <v>285</v>
      </c>
      <c r="C4" s="3" t="s">
        <v>19</v>
      </c>
      <c r="D4" s="3" t="s">
        <v>286</v>
      </c>
    </row>
    <row r="5" customFormat="false" ht="15" hidden="false" customHeight="false" outlineLevel="0" collapsed="false">
      <c r="B5" s="6" t="s">
        <v>265</v>
      </c>
      <c r="C5" s="24" t="n">
        <f aca="false">'3 ขนาดบ่อ'!$E$50</f>
        <v>1.2</v>
      </c>
      <c r="D5" s="6" t="s">
        <v>211</v>
      </c>
    </row>
    <row r="6" customFormat="false" ht="15" hidden="false" customHeight="false" outlineLevel="0" collapsed="false">
      <c r="B6" s="6" t="s">
        <v>287</v>
      </c>
      <c r="C6" s="24" t="n">
        <f aca="false">'3 ขนาดบ่อ'!$E$47</f>
        <v>0.987673754729172</v>
      </c>
      <c r="D6" s="6" t="s">
        <v>288</v>
      </c>
    </row>
    <row r="7" customFormat="false" ht="15" hidden="false" customHeight="false" outlineLevel="0" collapsed="false">
      <c r="B7" s="6" t="s">
        <v>289</v>
      </c>
      <c r="C7" s="24" t="n">
        <f aca="false">'3 ขนาดบ่อ'!$E$35+'1 ข้อมูล'!$C$17</f>
        <v>0.92</v>
      </c>
      <c r="D7" s="6" t="s">
        <v>290</v>
      </c>
    </row>
    <row r="8" customFormat="false" ht="15" hidden="false" customHeight="false" outlineLevel="0" collapsed="false">
      <c r="B8" s="6" t="s">
        <v>291</v>
      </c>
      <c r="C8" s="24" t="n">
        <f aca="false">'3 ขนาดบ่อ'!$E$35</f>
        <v>0.9</v>
      </c>
      <c r="D8" s="6" t="s">
        <v>186</v>
      </c>
    </row>
    <row r="9" customFormat="false" ht="15" hidden="false" customHeight="false" outlineLevel="0" collapsed="false">
      <c r="B9" s="6" t="s">
        <v>292</v>
      </c>
      <c r="C9" s="24" t="n">
        <f aca="false">'3 ขนาดบ่อ'!$E$56</f>
        <v>1</v>
      </c>
      <c r="D9" s="6" t="s">
        <v>223</v>
      </c>
    </row>
    <row r="10" customFormat="false" ht="15" hidden="false" customHeight="false" outlineLevel="0" collapsed="false">
      <c r="B10" s="6" t="s">
        <v>293</v>
      </c>
      <c r="C10" s="24" t="n">
        <f aca="false">'3 ขนาดบ่อ'!$E$8+'3 ขนาดบ่อ'!$E$10</f>
        <v>0.9</v>
      </c>
      <c r="D10" s="6" t="s">
        <v>294</v>
      </c>
    </row>
    <row r="11" customFormat="false" ht="15" hidden="false" customHeight="false" outlineLevel="0" collapsed="false">
      <c r="B11" s="6" t="s">
        <v>295</v>
      </c>
      <c r="C11" s="24" t="n">
        <f aca="false">'3 ขนาดบ่อ'!$E$28</f>
        <v>0.809665688762588</v>
      </c>
      <c r="D11" s="6" t="s">
        <v>296</v>
      </c>
    </row>
    <row r="12" customFormat="false" ht="15" hidden="false" customHeight="false" outlineLevel="0" collapsed="false">
      <c r="B12" s="6" t="s">
        <v>297</v>
      </c>
      <c r="C12" s="24" t="n">
        <f aca="false">'3 ขนาดบ่อ'!$E$8</f>
        <v>0.6</v>
      </c>
      <c r="D12" s="6" t="s">
        <v>298</v>
      </c>
    </row>
    <row r="13" customFormat="false" ht="15" hidden="false" customHeight="false" outlineLevel="0" collapsed="false">
      <c r="B13" s="6" t="s">
        <v>299</v>
      </c>
      <c r="C13" s="24" t="n">
        <f aca="false">'3 ขนาดบ่อ'!$E$53</f>
        <v>0.5</v>
      </c>
      <c r="D13" s="6" t="s">
        <v>215</v>
      </c>
    </row>
    <row r="14" customFormat="false" ht="15" hidden="false" customHeight="false" outlineLevel="0" collapsed="false">
      <c r="B14" s="6" t="s">
        <v>300</v>
      </c>
      <c r="C14" s="24" t="n">
        <f aca="false">'3 ขนาดบ่อ'!$E$55</f>
        <v>0.4</v>
      </c>
      <c r="D14" s="6" t="s">
        <v>301</v>
      </c>
    </row>
    <row r="15" customFormat="false" ht="15" hidden="false" customHeight="false" outlineLevel="0" collapsed="false">
      <c r="B15" s="6" t="s">
        <v>302</v>
      </c>
      <c r="C15" s="24" t="n">
        <f aca="false">'3 ขนาดบ่อ'!$E$41</f>
        <v>0.3</v>
      </c>
      <c r="D15" s="6" t="s">
        <v>303</v>
      </c>
    </row>
    <row r="16" customFormat="false" ht="15" hidden="false" customHeight="false" outlineLevel="0" collapsed="false">
      <c r="B16" s="6" t="s">
        <v>304</v>
      </c>
      <c r="C16" s="24" t="n">
        <f aca="false">'3 ขนาดบ่อ'!$E$20</f>
        <v>0.210686269183871</v>
      </c>
      <c r="D16" s="6" t="s">
        <v>305</v>
      </c>
    </row>
    <row r="17" customFormat="false" ht="15" hidden="false" customHeight="false" outlineLevel="0" collapsed="false">
      <c r="B17" s="6" t="s">
        <v>306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307</v>
      </c>
    </row>
    <row r="2" customFormat="false" ht="15" hidden="false" customHeight="false" outlineLevel="0" collapsed="false">
      <c r="B2" s="2" t="s">
        <v>308</v>
      </c>
    </row>
    <row r="4" customFormat="false" ht="45" hidden="false" customHeight="true" outlineLevel="0" collapsed="false">
      <c r="B4" s="3" t="s">
        <v>309</v>
      </c>
      <c r="C4" s="3" t="s">
        <v>310</v>
      </c>
      <c r="D4" s="3" t="s">
        <v>311</v>
      </c>
      <c r="E4" s="3" t="s">
        <v>312</v>
      </c>
      <c r="F4" s="3" t="s">
        <v>313</v>
      </c>
      <c r="G4" s="3" t="s">
        <v>314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ข้อมูล'!$C$44)^2.5*3600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ข้อมูล'!$C$44)^2.5*3600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ข้อมูล'!$C$44)^2.5*3600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ข้อมูล'!$C$44)^2.5*3600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ข้อมูล'!$C$44)^2.5*3600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ข้อมูล'!$C$44)^2.5*3600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ข้อมูล'!$C$44)^2.5*3600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ข้อมูล'!$C$44)^2.5*3600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ข้อมูล'!$C$44)^2.5*3600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ข้อมูล'!$C$44)^2.5*3600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ข้อมูล'!$C$44)^2.5*3600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ข้อมูล'!$C$44)^2.5*3600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ข้อมูล'!$C$44)^2.5*3600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ข้อมูล'!$C$44)^2.5*3600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ข้อมูล'!$C$44)^2.5*3600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ข้อมูล'!$C$44)^2.5*3600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ข้อมูล'!$C$44)^2.5*3600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ข้อมูล'!$C$44)^2.5*3600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ข้อมูล'!$C$44)^2.5*3600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ข้อมูล'!$C$44)^2.5*3600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ข้อมูล'!$C$44)^2.5*3600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2026-10-30T08:11:40Z</dcterms:created>
  <dc:creator>openpyxl</dc:creator>
  <dc:description/>
  <dc:language>en-US</dc:language>
  <cp:lastModifiedBy/>
  <dcterms:modified xsi:type="dcterms:W3CDTF">2026-10-30T08:11:40Z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